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oda\Downloads\"/>
    </mc:Choice>
  </mc:AlternateContent>
  <xr:revisionPtr revIDLastSave="0" documentId="13_ncr:1_{D04712D2-2970-4C81-ADDF-BE60CAB50AC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  <sheet name="Heat m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6" l="1"/>
  <c r="M9" i="6" a="1"/>
  <c r="M9" i="6" s="1"/>
  <c r="L9" i="6" a="1"/>
  <c r="L9" i="6" s="1"/>
  <c r="K9" i="6" a="1"/>
  <c r="K9" i="6" s="1"/>
  <c r="J9" i="6" a="1"/>
  <c r="J9" i="6" s="1"/>
  <c r="I9" i="6" a="1"/>
  <c r="I9" i="6"/>
  <c r="F9" i="6" a="1"/>
  <c r="F9" i="6" s="1"/>
  <c r="E9" i="6" a="1"/>
  <c r="E9" i="6"/>
  <c r="D9" i="6" a="1"/>
  <c r="D9" i="6" s="1"/>
  <c r="C9" i="6" a="1"/>
  <c r="C9" i="6" s="1"/>
  <c r="B9" i="6" a="1"/>
  <c r="B9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F6" i="6" a="1"/>
  <c r="F6" i="6" s="1"/>
  <c r="E6" i="6" a="1"/>
  <c r="E6" i="6" s="1"/>
  <c r="D6" i="6" a="1"/>
  <c r="D6" i="6" s="1"/>
  <c r="C6" i="6" a="1"/>
  <c r="C6" i="6" s="1"/>
  <c r="B6" i="6" a="1"/>
  <c r="B6" i="6" s="1"/>
  <c r="M5" i="6" a="1"/>
  <c r="M5" i="6" s="1"/>
  <c r="L5" i="6" a="1"/>
  <c r="L5" i="6" s="1"/>
  <c r="K5" i="6" a="1"/>
  <c r="K5" i="6" s="1"/>
  <c r="J5" i="6" a="1"/>
  <c r="J5" i="6" s="1"/>
  <c r="I5" i="6" a="1"/>
  <c r="I5" i="6" s="1"/>
  <c r="F5" i="6" a="1"/>
  <c r="F5" i="6" s="1"/>
  <c r="E5" i="6" a="1"/>
  <c r="E5" i="6" s="1"/>
  <c r="D5" i="6" a="1"/>
  <c r="D5" i="6" s="1"/>
  <c r="C5" i="6" a="1"/>
  <c r="C5" i="6" s="1"/>
  <c r="B5" i="6" a="1"/>
  <c r="B5" i="6" s="1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N15" i="5"/>
  <c r="N14" i="5"/>
  <c r="N13" i="5"/>
  <c r="D13" i="5"/>
  <c r="N12" i="5"/>
  <c r="N11" i="5"/>
  <c r="D11" i="5"/>
  <c r="N10" i="5"/>
  <c r="N9" i="5"/>
  <c r="N8" i="5"/>
  <c r="N7" i="5"/>
  <c r="D7" i="5"/>
  <c r="N6" i="5"/>
  <c r="N5" i="5"/>
  <c r="D5" i="5"/>
  <c r="N4" i="5"/>
  <c r="N3" i="5"/>
  <c r="N2" i="5"/>
  <c r="R210" i="4"/>
  <c r="I210" i="4"/>
  <c r="R209" i="4"/>
  <c r="K209" i="4"/>
  <c r="I209" i="4"/>
  <c r="J209" i="4" s="1"/>
  <c r="R208" i="4"/>
  <c r="I208" i="4"/>
  <c r="K208" i="4" s="1"/>
  <c r="R207" i="4"/>
  <c r="I207" i="4"/>
  <c r="R206" i="4"/>
  <c r="K206" i="4"/>
  <c r="I206" i="4"/>
  <c r="J206" i="4" s="1"/>
  <c r="R205" i="4"/>
  <c r="I205" i="4"/>
  <c r="K205" i="4" s="1"/>
  <c r="R204" i="4"/>
  <c r="I204" i="4"/>
  <c r="R203" i="4"/>
  <c r="K203" i="4"/>
  <c r="I203" i="4"/>
  <c r="J203" i="4" s="1"/>
  <c r="R202" i="4"/>
  <c r="I202" i="4"/>
  <c r="K202" i="4" s="1"/>
  <c r="R201" i="4"/>
  <c r="I201" i="4"/>
  <c r="R200" i="4"/>
  <c r="K200" i="4"/>
  <c r="I200" i="4"/>
  <c r="J200" i="4" s="1"/>
  <c r="R199" i="4"/>
  <c r="I199" i="4"/>
  <c r="K199" i="4" s="1"/>
  <c r="R198" i="4"/>
  <c r="I198" i="4"/>
  <c r="R197" i="4"/>
  <c r="K197" i="4"/>
  <c r="I197" i="4"/>
  <c r="J197" i="4" s="1"/>
  <c r="R196" i="4"/>
  <c r="I196" i="4"/>
  <c r="K196" i="4" s="1"/>
  <c r="R195" i="4"/>
  <c r="I195" i="4"/>
  <c r="R194" i="4"/>
  <c r="K194" i="4"/>
  <c r="I194" i="4"/>
  <c r="J194" i="4" s="1"/>
  <c r="R193" i="4"/>
  <c r="I193" i="4"/>
  <c r="K193" i="4" s="1"/>
  <c r="R192" i="4"/>
  <c r="I192" i="4"/>
  <c r="R191" i="4"/>
  <c r="K191" i="4"/>
  <c r="I191" i="4"/>
  <c r="J191" i="4" s="1"/>
  <c r="R190" i="4"/>
  <c r="I190" i="4"/>
  <c r="K190" i="4" s="1"/>
  <c r="R189" i="4"/>
  <c r="I189" i="4"/>
  <c r="R188" i="4"/>
  <c r="K188" i="4"/>
  <c r="I188" i="4"/>
  <c r="J188" i="4" s="1"/>
  <c r="R187" i="4"/>
  <c r="I187" i="4"/>
  <c r="K187" i="4" s="1"/>
  <c r="R186" i="4"/>
  <c r="I186" i="4"/>
  <c r="R185" i="4"/>
  <c r="K185" i="4"/>
  <c r="I185" i="4"/>
  <c r="J185" i="4" s="1"/>
  <c r="R184" i="4"/>
  <c r="I184" i="4"/>
  <c r="K184" i="4" s="1"/>
  <c r="R183" i="4"/>
  <c r="I183" i="4"/>
  <c r="R182" i="4"/>
  <c r="K182" i="4"/>
  <c r="I182" i="4"/>
  <c r="J182" i="4" s="1"/>
  <c r="R181" i="4"/>
  <c r="I181" i="4"/>
  <c r="K181" i="4" s="1"/>
  <c r="R180" i="4"/>
  <c r="I180" i="4"/>
  <c r="R179" i="4"/>
  <c r="K179" i="4"/>
  <c r="I179" i="4"/>
  <c r="J179" i="4" s="1"/>
  <c r="R178" i="4"/>
  <c r="I178" i="4"/>
  <c r="K178" i="4" s="1"/>
  <c r="R177" i="4"/>
  <c r="I177" i="4"/>
  <c r="R176" i="4"/>
  <c r="K176" i="4"/>
  <c r="I176" i="4"/>
  <c r="J176" i="4" s="1"/>
  <c r="R175" i="4"/>
  <c r="I175" i="4"/>
  <c r="K175" i="4" s="1"/>
  <c r="R174" i="4"/>
  <c r="I174" i="4"/>
  <c r="R173" i="4"/>
  <c r="K173" i="4"/>
  <c r="I173" i="4"/>
  <c r="J173" i="4" s="1"/>
  <c r="R172" i="4"/>
  <c r="I172" i="4"/>
  <c r="K172" i="4" s="1"/>
  <c r="R171" i="4"/>
  <c r="I171" i="4"/>
  <c r="R170" i="4"/>
  <c r="K170" i="4"/>
  <c r="I170" i="4"/>
  <c r="J170" i="4" s="1"/>
  <c r="R169" i="4"/>
  <c r="I169" i="4"/>
  <c r="K169" i="4" s="1"/>
  <c r="R168" i="4"/>
  <c r="I168" i="4"/>
  <c r="R167" i="4"/>
  <c r="K167" i="4"/>
  <c r="I167" i="4"/>
  <c r="J167" i="4" s="1"/>
  <c r="R166" i="4"/>
  <c r="I166" i="4"/>
  <c r="K166" i="4" s="1"/>
  <c r="R165" i="4"/>
  <c r="I165" i="4"/>
  <c r="R164" i="4"/>
  <c r="K164" i="4"/>
  <c r="I164" i="4"/>
  <c r="J164" i="4" s="1"/>
  <c r="R163" i="4"/>
  <c r="I163" i="4"/>
  <c r="K163" i="4" s="1"/>
  <c r="R162" i="4"/>
  <c r="I162" i="4"/>
  <c r="R161" i="4"/>
  <c r="K161" i="4"/>
  <c r="I161" i="4"/>
  <c r="J161" i="4" s="1"/>
  <c r="R160" i="4"/>
  <c r="I160" i="4"/>
  <c r="K160" i="4" s="1"/>
  <c r="R159" i="4"/>
  <c r="I159" i="4"/>
  <c r="R158" i="4"/>
  <c r="K158" i="4"/>
  <c r="I158" i="4"/>
  <c r="J158" i="4" s="1"/>
  <c r="R157" i="4"/>
  <c r="I157" i="4"/>
  <c r="K157" i="4" s="1"/>
  <c r="R156" i="4"/>
  <c r="I156" i="4"/>
  <c r="R155" i="4"/>
  <c r="K155" i="4"/>
  <c r="I155" i="4"/>
  <c r="J155" i="4" s="1"/>
  <c r="R154" i="4"/>
  <c r="I154" i="4"/>
  <c r="K154" i="4" s="1"/>
  <c r="R153" i="4"/>
  <c r="I153" i="4"/>
  <c r="R152" i="4"/>
  <c r="K152" i="4"/>
  <c r="I152" i="4"/>
  <c r="J152" i="4" s="1"/>
  <c r="R151" i="4"/>
  <c r="I151" i="4"/>
  <c r="K151" i="4" s="1"/>
  <c r="R150" i="4"/>
  <c r="I150" i="4"/>
  <c r="R149" i="4"/>
  <c r="K149" i="4"/>
  <c r="I149" i="4"/>
  <c r="J149" i="4" s="1"/>
  <c r="R148" i="4"/>
  <c r="I148" i="4"/>
  <c r="K148" i="4" s="1"/>
  <c r="R147" i="4"/>
  <c r="I147" i="4"/>
  <c r="R146" i="4"/>
  <c r="K146" i="4"/>
  <c r="I146" i="4"/>
  <c r="J146" i="4" s="1"/>
  <c r="R145" i="4"/>
  <c r="I145" i="4"/>
  <c r="K145" i="4" s="1"/>
  <c r="R144" i="4"/>
  <c r="I144" i="4"/>
  <c r="R143" i="4"/>
  <c r="K143" i="4"/>
  <c r="I143" i="4"/>
  <c r="J143" i="4" s="1"/>
  <c r="R142" i="4"/>
  <c r="I142" i="4"/>
  <c r="K142" i="4" s="1"/>
  <c r="R141" i="4"/>
  <c r="I141" i="4"/>
  <c r="R140" i="4"/>
  <c r="K140" i="4"/>
  <c r="I140" i="4"/>
  <c r="J140" i="4" s="1"/>
  <c r="R139" i="4"/>
  <c r="I139" i="4"/>
  <c r="K139" i="4" s="1"/>
  <c r="R138" i="4"/>
  <c r="I138" i="4"/>
  <c r="J138" i="4" s="1"/>
  <c r="R137" i="4"/>
  <c r="K137" i="4"/>
  <c r="I137" i="4"/>
  <c r="J137" i="4" s="1"/>
  <c r="R136" i="4"/>
  <c r="I136" i="4"/>
  <c r="K136" i="4" s="1"/>
  <c r="R135" i="4"/>
  <c r="I135" i="4"/>
  <c r="R134" i="4"/>
  <c r="K134" i="4"/>
  <c r="I134" i="4"/>
  <c r="J134" i="4" s="1"/>
  <c r="R133" i="4"/>
  <c r="I133" i="4"/>
  <c r="K133" i="4" s="1"/>
  <c r="R132" i="4"/>
  <c r="K132" i="4"/>
  <c r="I132" i="4"/>
  <c r="J132" i="4" s="1"/>
  <c r="R131" i="4"/>
  <c r="K131" i="4"/>
  <c r="I131" i="4"/>
  <c r="J131" i="4" s="1"/>
  <c r="R130" i="4"/>
  <c r="I130" i="4"/>
  <c r="K130" i="4" s="1"/>
  <c r="R129" i="4"/>
  <c r="K129" i="4"/>
  <c r="I129" i="4"/>
  <c r="J129" i="4" s="1"/>
  <c r="R128" i="4"/>
  <c r="K128" i="4"/>
  <c r="I128" i="4"/>
  <c r="J128" i="4" s="1"/>
  <c r="R127" i="4"/>
  <c r="I127" i="4"/>
  <c r="K127" i="4" s="1"/>
  <c r="R126" i="4"/>
  <c r="I126" i="4"/>
  <c r="J126" i="4" s="1"/>
  <c r="R125" i="4"/>
  <c r="K125" i="4"/>
  <c r="I125" i="4"/>
  <c r="J125" i="4" s="1"/>
  <c r="R124" i="4"/>
  <c r="I124" i="4"/>
  <c r="K124" i="4" s="1"/>
  <c r="R123" i="4"/>
  <c r="K123" i="4"/>
  <c r="I123" i="4"/>
  <c r="J123" i="4" s="1"/>
  <c r="R122" i="4"/>
  <c r="K122" i="4"/>
  <c r="I122" i="4"/>
  <c r="J122" i="4" s="1"/>
  <c r="R121" i="4"/>
  <c r="I121" i="4"/>
  <c r="K121" i="4" s="1"/>
  <c r="R120" i="4"/>
  <c r="K120" i="4"/>
  <c r="I120" i="4"/>
  <c r="J120" i="4" s="1"/>
  <c r="R119" i="4"/>
  <c r="K119" i="4"/>
  <c r="I119" i="4"/>
  <c r="J119" i="4" s="1"/>
  <c r="R118" i="4"/>
  <c r="I118" i="4"/>
  <c r="K118" i="4" s="1"/>
  <c r="R117" i="4"/>
  <c r="I117" i="4"/>
  <c r="J117" i="4" s="1"/>
  <c r="R116" i="4"/>
  <c r="K116" i="4"/>
  <c r="I116" i="4"/>
  <c r="J116" i="4" s="1"/>
  <c r="R115" i="4"/>
  <c r="I115" i="4"/>
  <c r="K115" i="4" s="1"/>
  <c r="R114" i="4"/>
  <c r="K114" i="4"/>
  <c r="I114" i="4"/>
  <c r="J114" i="4" s="1"/>
  <c r="R113" i="4"/>
  <c r="K113" i="4"/>
  <c r="I113" i="4"/>
  <c r="J113" i="4" s="1"/>
  <c r="R112" i="4"/>
  <c r="I112" i="4"/>
  <c r="K112" i="4" s="1"/>
  <c r="R111" i="4"/>
  <c r="K111" i="4"/>
  <c r="I111" i="4"/>
  <c r="J111" i="4" s="1"/>
  <c r="R110" i="4"/>
  <c r="K110" i="4"/>
  <c r="I110" i="4"/>
  <c r="J110" i="4" s="1"/>
  <c r="R109" i="4"/>
  <c r="I109" i="4"/>
  <c r="K109" i="4" s="1"/>
  <c r="R108" i="4"/>
  <c r="I108" i="4"/>
  <c r="J108" i="4" s="1"/>
  <c r="R107" i="4"/>
  <c r="K107" i="4"/>
  <c r="I107" i="4"/>
  <c r="J107" i="4" s="1"/>
  <c r="R106" i="4"/>
  <c r="I106" i="4"/>
  <c r="K106" i="4" s="1"/>
  <c r="R105" i="4"/>
  <c r="K105" i="4"/>
  <c r="I105" i="4"/>
  <c r="J105" i="4" s="1"/>
  <c r="R104" i="4"/>
  <c r="K104" i="4"/>
  <c r="I104" i="4"/>
  <c r="J104" i="4" s="1"/>
  <c r="R103" i="4"/>
  <c r="I103" i="4"/>
  <c r="K103" i="4" s="1"/>
  <c r="R102" i="4"/>
  <c r="K102" i="4"/>
  <c r="I102" i="4"/>
  <c r="J102" i="4" s="1"/>
  <c r="R101" i="4"/>
  <c r="K101" i="4"/>
  <c r="I101" i="4"/>
  <c r="J101" i="4" s="1"/>
  <c r="R100" i="4"/>
  <c r="I100" i="4"/>
  <c r="K100" i="4" s="1"/>
  <c r="R99" i="4"/>
  <c r="I99" i="4"/>
  <c r="J99" i="4" s="1"/>
  <c r="R98" i="4"/>
  <c r="K98" i="4"/>
  <c r="I98" i="4"/>
  <c r="J98" i="4" s="1"/>
  <c r="R97" i="4"/>
  <c r="I97" i="4"/>
  <c r="K97" i="4" s="1"/>
  <c r="R96" i="4"/>
  <c r="K96" i="4"/>
  <c r="I96" i="4"/>
  <c r="J96" i="4" s="1"/>
  <c r="R95" i="4"/>
  <c r="K95" i="4"/>
  <c r="I95" i="4"/>
  <c r="J95" i="4" s="1"/>
  <c r="R94" i="4"/>
  <c r="K94" i="4"/>
  <c r="I94" i="4"/>
  <c r="J94" i="4" s="1"/>
  <c r="R93" i="4"/>
  <c r="I93" i="4"/>
  <c r="J93" i="4" s="1"/>
  <c r="R92" i="4"/>
  <c r="K92" i="4"/>
  <c r="I92" i="4"/>
  <c r="J92" i="4" s="1"/>
  <c r="R91" i="4"/>
  <c r="I91" i="4"/>
  <c r="K91" i="4" s="1"/>
  <c r="R90" i="4"/>
  <c r="K90" i="4"/>
  <c r="I90" i="4"/>
  <c r="J90" i="4" s="1"/>
  <c r="R89" i="4"/>
  <c r="K89" i="4"/>
  <c r="I89" i="4"/>
  <c r="J89" i="4" s="1"/>
  <c r="R88" i="4"/>
  <c r="I88" i="4"/>
  <c r="K88" i="4" s="1"/>
  <c r="R87" i="4"/>
  <c r="I87" i="4"/>
  <c r="J87" i="4" s="1"/>
  <c r="R86" i="4"/>
  <c r="K86" i="4"/>
  <c r="I86" i="4"/>
  <c r="J86" i="4" s="1"/>
  <c r="R85" i="4"/>
  <c r="I85" i="4"/>
  <c r="K85" i="4" s="1"/>
  <c r="R84" i="4"/>
  <c r="I84" i="4"/>
  <c r="J84" i="4" s="1"/>
  <c r="R83" i="4"/>
  <c r="K83" i="4"/>
  <c r="I83" i="4"/>
  <c r="J83" i="4" s="1"/>
  <c r="R82" i="4"/>
  <c r="I82" i="4"/>
  <c r="K82" i="4" s="1"/>
  <c r="R81" i="4"/>
  <c r="K81" i="4"/>
  <c r="I81" i="4"/>
  <c r="J81" i="4" s="1"/>
  <c r="R80" i="4"/>
  <c r="K80" i="4"/>
  <c r="I80" i="4"/>
  <c r="J80" i="4" s="1"/>
  <c r="R79" i="4"/>
  <c r="I79" i="4"/>
  <c r="K79" i="4" s="1"/>
  <c r="R78" i="4"/>
  <c r="I78" i="4"/>
  <c r="J78" i="4" s="1"/>
  <c r="R77" i="4"/>
  <c r="K77" i="4"/>
  <c r="I77" i="4"/>
  <c r="J77" i="4" s="1"/>
  <c r="R76" i="4"/>
  <c r="I76" i="4"/>
  <c r="K76" i="4" s="1"/>
  <c r="R75" i="4"/>
  <c r="I75" i="4"/>
  <c r="J75" i="4" s="1"/>
  <c r="R74" i="4"/>
  <c r="K74" i="4"/>
  <c r="I74" i="4"/>
  <c r="J74" i="4" s="1"/>
  <c r="R73" i="4"/>
  <c r="I73" i="4"/>
  <c r="K73" i="4" s="1"/>
  <c r="R72" i="4"/>
  <c r="K72" i="4"/>
  <c r="I72" i="4"/>
  <c r="J72" i="4" s="1"/>
  <c r="R71" i="4"/>
  <c r="K71" i="4"/>
  <c r="I71" i="4"/>
  <c r="J71" i="4" s="1"/>
  <c r="R70" i="4"/>
  <c r="I70" i="4"/>
  <c r="K70" i="4" s="1"/>
  <c r="R69" i="4"/>
  <c r="I69" i="4"/>
  <c r="J69" i="4" s="1"/>
  <c r="R68" i="4"/>
  <c r="K68" i="4"/>
  <c r="I68" i="4"/>
  <c r="J68" i="4" s="1"/>
  <c r="R67" i="4"/>
  <c r="I67" i="4"/>
  <c r="K67" i="4" s="1"/>
  <c r="R66" i="4"/>
  <c r="I66" i="4"/>
  <c r="J66" i="4" s="1"/>
  <c r="R65" i="4"/>
  <c r="K65" i="4"/>
  <c r="I65" i="4"/>
  <c r="J65" i="4" s="1"/>
  <c r="R64" i="4"/>
  <c r="I64" i="4"/>
  <c r="K64" i="4" s="1"/>
  <c r="R63" i="4"/>
  <c r="K63" i="4"/>
  <c r="I63" i="4"/>
  <c r="J63" i="4" s="1"/>
  <c r="R62" i="4"/>
  <c r="K62" i="4"/>
  <c r="I62" i="4"/>
  <c r="J62" i="4" s="1"/>
  <c r="R61" i="4"/>
  <c r="I61" i="4"/>
  <c r="K61" i="4" s="1"/>
  <c r="R60" i="4"/>
  <c r="I60" i="4"/>
  <c r="J60" i="4" s="1"/>
  <c r="R59" i="4"/>
  <c r="K59" i="4"/>
  <c r="I59" i="4"/>
  <c r="J59" i="4" s="1"/>
  <c r="R58" i="4"/>
  <c r="I58" i="4"/>
  <c r="K58" i="4" s="1"/>
  <c r="R57" i="4"/>
  <c r="I57" i="4"/>
  <c r="J57" i="4" s="1"/>
  <c r="R56" i="4"/>
  <c r="K56" i="4"/>
  <c r="I56" i="4"/>
  <c r="J56" i="4" s="1"/>
  <c r="R55" i="4"/>
  <c r="I55" i="4"/>
  <c r="K55" i="4" s="1"/>
  <c r="R54" i="4"/>
  <c r="I54" i="4"/>
  <c r="J54" i="4" s="1"/>
  <c r="R53" i="4"/>
  <c r="K53" i="4"/>
  <c r="I53" i="4"/>
  <c r="J53" i="4" s="1"/>
  <c r="R52" i="4"/>
  <c r="I52" i="4"/>
  <c r="K52" i="4" s="1"/>
  <c r="R51" i="4"/>
  <c r="I51" i="4"/>
  <c r="J51" i="4" s="1"/>
  <c r="R50" i="4"/>
  <c r="K50" i="4"/>
  <c r="I50" i="4"/>
  <c r="J50" i="4" s="1"/>
  <c r="R49" i="4"/>
  <c r="I49" i="4"/>
  <c r="K49" i="4" s="1"/>
  <c r="R48" i="4"/>
  <c r="I48" i="4"/>
  <c r="J48" i="4" s="1"/>
  <c r="R47" i="4"/>
  <c r="K47" i="4"/>
  <c r="I47" i="4"/>
  <c r="J47" i="4" s="1"/>
  <c r="R46" i="4"/>
  <c r="I46" i="4"/>
  <c r="K46" i="4" s="1"/>
  <c r="R45" i="4"/>
  <c r="I45" i="4"/>
  <c r="J45" i="4" s="1"/>
  <c r="R44" i="4"/>
  <c r="K44" i="4"/>
  <c r="I44" i="4"/>
  <c r="J44" i="4" s="1"/>
  <c r="R43" i="4"/>
  <c r="I43" i="4"/>
  <c r="K43" i="4" s="1"/>
  <c r="R42" i="4"/>
  <c r="I42" i="4"/>
  <c r="J42" i="4" s="1"/>
  <c r="R41" i="4"/>
  <c r="K41" i="4"/>
  <c r="I41" i="4"/>
  <c r="J41" i="4" s="1"/>
  <c r="R40" i="4"/>
  <c r="I40" i="4"/>
  <c r="K40" i="4" s="1"/>
  <c r="R39" i="4"/>
  <c r="I39" i="4"/>
  <c r="J39" i="4" s="1"/>
  <c r="R38" i="4"/>
  <c r="K38" i="4"/>
  <c r="I38" i="4"/>
  <c r="J38" i="4" s="1"/>
  <c r="R37" i="4"/>
  <c r="I37" i="4"/>
  <c r="K37" i="4" s="1"/>
  <c r="R36" i="4"/>
  <c r="I36" i="4"/>
  <c r="J36" i="4" s="1"/>
  <c r="R35" i="4"/>
  <c r="K35" i="4"/>
  <c r="I35" i="4"/>
  <c r="J35" i="4" s="1"/>
  <c r="R34" i="4"/>
  <c r="I34" i="4"/>
  <c r="K34" i="4" s="1"/>
  <c r="R33" i="4"/>
  <c r="I33" i="4"/>
  <c r="J33" i="4" s="1"/>
  <c r="R32" i="4"/>
  <c r="K32" i="4"/>
  <c r="I32" i="4"/>
  <c r="J32" i="4" s="1"/>
  <c r="R31" i="4"/>
  <c r="I31" i="4"/>
  <c r="K31" i="4" s="1"/>
  <c r="R30" i="4"/>
  <c r="I30" i="4"/>
  <c r="J30" i="4" s="1"/>
  <c r="R29" i="4"/>
  <c r="K29" i="4"/>
  <c r="I29" i="4"/>
  <c r="J29" i="4" s="1"/>
  <c r="R28" i="4"/>
  <c r="I28" i="4"/>
  <c r="K28" i="4" s="1"/>
  <c r="R27" i="4"/>
  <c r="I27" i="4"/>
  <c r="J27" i="4" s="1"/>
  <c r="R26" i="4"/>
  <c r="K26" i="4"/>
  <c r="I26" i="4"/>
  <c r="J26" i="4" s="1"/>
  <c r="R25" i="4"/>
  <c r="I25" i="4"/>
  <c r="K25" i="4" s="1"/>
  <c r="R24" i="4"/>
  <c r="I24" i="4"/>
  <c r="J24" i="4" s="1"/>
  <c r="R23" i="4"/>
  <c r="K23" i="4"/>
  <c r="I23" i="4"/>
  <c r="J23" i="4" s="1"/>
  <c r="R22" i="4"/>
  <c r="I22" i="4"/>
  <c r="K22" i="4" s="1"/>
  <c r="R21" i="4"/>
  <c r="I21" i="4"/>
  <c r="J21" i="4" s="1"/>
  <c r="R20" i="4"/>
  <c r="K20" i="4"/>
  <c r="I20" i="4"/>
  <c r="J20" i="4" s="1"/>
  <c r="R19" i="4"/>
  <c r="I19" i="4"/>
  <c r="K19" i="4" s="1"/>
  <c r="R18" i="4"/>
  <c r="I18" i="4"/>
  <c r="J18" i="4" s="1"/>
  <c r="D16" i="5"/>
  <c r="R15" i="4"/>
  <c r="I15" i="4"/>
  <c r="R14" i="4"/>
  <c r="K14" i="4"/>
  <c r="I14" i="4"/>
  <c r="D14" i="5" s="1"/>
  <c r="R13" i="4"/>
  <c r="I13" i="4"/>
  <c r="K13" i="4" s="1"/>
  <c r="R12" i="4"/>
  <c r="I12" i="4"/>
  <c r="J12" i="4" s="1"/>
  <c r="R11" i="4"/>
  <c r="K11" i="4"/>
  <c r="I11" i="4"/>
  <c r="J11" i="4" s="1"/>
  <c r="R10" i="4"/>
  <c r="I10" i="4"/>
  <c r="D10" i="5" s="1"/>
  <c r="R9" i="4"/>
  <c r="I9" i="4"/>
  <c r="R8" i="4"/>
  <c r="K8" i="4"/>
  <c r="I8" i="4"/>
  <c r="D8" i="5" s="1"/>
  <c r="R7" i="4"/>
  <c r="I7" i="4"/>
  <c r="K7" i="4" s="1"/>
  <c r="R6" i="4"/>
  <c r="I6" i="4"/>
  <c r="J6" i="4" s="1"/>
  <c r="R5" i="4"/>
  <c r="K5" i="4"/>
  <c r="I5" i="4"/>
  <c r="J5" i="4" s="1"/>
  <c r="R4" i="4"/>
  <c r="I4" i="4"/>
  <c r="D4" i="5" s="1"/>
  <c r="R3" i="4"/>
  <c r="I3" i="4"/>
  <c r="R2" i="4"/>
  <c r="D21" i="6" s="1"/>
  <c r="K2" i="4"/>
  <c r="I2" i="4"/>
  <c r="D2" i="5" s="1"/>
  <c r="J9" i="4" l="1"/>
  <c r="D9" i="5"/>
  <c r="J147" i="4"/>
  <c r="K147" i="4"/>
  <c r="J183" i="4"/>
  <c r="K183" i="4"/>
  <c r="K168" i="4"/>
  <c r="J168" i="4"/>
  <c r="K204" i="4"/>
  <c r="J204" i="4"/>
  <c r="J3" i="4"/>
  <c r="D3" i="5"/>
  <c r="J153" i="4"/>
  <c r="K153" i="4"/>
  <c r="K3" i="4"/>
  <c r="K12" i="4"/>
  <c r="K21" i="4"/>
  <c r="K30" i="4"/>
  <c r="K39" i="4"/>
  <c r="K48" i="4"/>
  <c r="K57" i="4"/>
  <c r="K66" i="4"/>
  <c r="K75" i="4"/>
  <c r="K84" i="4"/>
  <c r="K93" i="4"/>
  <c r="K138" i="4"/>
  <c r="K174" i="4"/>
  <c r="J174" i="4"/>
  <c r="J210" i="4"/>
  <c r="K210" i="4"/>
  <c r="J189" i="4"/>
  <c r="K189" i="4"/>
  <c r="J159" i="4"/>
  <c r="K159" i="4"/>
  <c r="J195" i="4"/>
  <c r="K195" i="4"/>
  <c r="J144" i="4"/>
  <c r="K144" i="4"/>
  <c r="K180" i="4"/>
  <c r="J180" i="4"/>
  <c r="J165" i="4"/>
  <c r="K165" i="4"/>
  <c r="J201" i="4"/>
  <c r="K201" i="4"/>
  <c r="K150" i="4"/>
  <c r="J150" i="4"/>
  <c r="K186" i="4"/>
  <c r="J186" i="4"/>
  <c r="D12" i="5"/>
  <c r="K99" i="4"/>
  <c r="K108" i="4"/>
  <c r="K117" i="4"/>
  <c r="K126" i="4"/>
  <c r="J171" i="4"/>
  <c r="K171" i="4"/>
  <c r="J207" i="4"/>
  <c r="K207" i="4"/>
  <c r="K27" i="4"/>
  <c r="K135" i="4"/>
  <c r="J135" i="4"/>
  <c r="K156" i="4"/>
  <c r="J156" i="4"/>
  <c r="J192" i="4"/>
  <c r="K192" i="4"/>
  <c r="K141" i="4"/>
  <c r="J141" i="4"/>
  <c r="J177" i="4"/>
  <c r="K177" i="4"/>
  <c r="D6" i="5"/>
  <c r="K9" i="4"/>
  <c r="K18" i="4"/>
  <c r="K36" i="4"/>
  <c r="K45" i="4"/>
  <c r="K54" i="4"/>
  <c r="J15" i="4"/>
  <c r="D15" i="5"/>
  <c r="K6" i="4"/>
  <c r="K15" i="4"/>
  <c r="K24" i="4"/>
  <c r="K33" i="4"/>
  <c r="K42" i="4"/>
  <c r="K51" i="4"/>
  <c r="K60" i="4"/>
  <c r="K69" i="4"/>
  <c r="K78" i="4"/>
  <c r="K87" i="4"/>
  <c r="K162" i="4"/>
  <c r="J162" i="4"/>
  <c r="J198" i="4"/>
  <c r="K198" i="4"/>
  <c r="J4" i="4"/>
  <c r="J7" i="4"/>
  <c r="J10" i="4"/>
  <c r="J13" i="4"/>
  <c r="J19" i="4"/>
  <c r="J22" i="4"/>
  <c r="J25" i="4"/>
  <c r="J28" i="4"/>
  <c r="J31" i="4"/>
  <c r="J34" i="4"/>
  <c r="J37" i="4"/>
  <c r="J40" i="4"/>
  <c r="J43" i="4"/>
  <c r="J46" i="4"/>
  <c r="J49" i="4"/>
  <c r="J52" i="4"/>
  <c r="J55" i="4"/>
  <c r="J58" i="4"/>
  <c r="J61" i="4"/>
  <c r="J64" i="4"/>
  <c r="J67" i="4"/>
  <c r="J70" i="4"/>
  <c r="J73" i="4"/>
  <c r="J76" i="4"/>
  <c r="J79" i="4"/>
  <c r="J82" i="4"/>
  <c r="J85" i="4"/>
  <c r="J88" i="4"/>
  <c r="J91" i="4"/>
  <c r="J97" i="4"/>
  <c r="J100" i="4"/>
  <c r="J103" i="4"/>
  <c r="J106" i="4"/>
  <c r="J109" i="4"/>
  <c r="J112" i="4"/>
  <c r="J115" i="4"/>
  <c r="J118" i="4"/>
  <c r="J121" i="4"/>
  <c r="J124" i="4"/>
  <c r="J127" i="4"/>
  <c r="J130" i="4"/>
  <c r="J133" i="4"/>
  <c r="J136" i="4"/>
  <c r="J139" i="4"/>
  <c r="J142" i="4"/>
  <c r="J145" i="4"/>
  <c r="J148" i="4"/>
  <c r="J151" i="4"/>
  <c r="J154" i="4"/>
  <c r="J157" i="4"/>
  <c r="J160" i="4"/>
  <c r="J163" i="4"/>
  <c r="J166" i="4"/>
  <c r="J169" i="4"/>
  <c r="J172" i="4"/>
  <c r="J175" i="4"/>
  <c r="J178" i="4"/>
  <c r="J181" i="4"/>
  <c r="J184" i="4"/>
  <c r="J187" i="4"/>
  <c r="J190" i="4"/>
  <c r="J193" i="4"/>
  <c r="J196" i="4"/>
  <c r="J199" i="4"/>
  <c r="J202" i="4"/>
  <c r="J205" i="4"/>
  <c r="J208" i="4"/>
  <c r="C15" i="6"/>
  <c r="K4" i="4"/>
  <c r="K10" i="4"/>
  <c r="D15" i="6"/>
  <c r="C16" i="6"/>
  <c r="J2" i="4"/>
  <c r="J8" i="4"/>
  <c r="J14" i="4"/>
  <c r="D16" i="6"/>
  <c r="C17" i="6"/>
  <c r="D17" i="6"/>
  <c r="C18" i="6"/>
  <c r="D18" i="6"/>
  <c r="C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pkirkov</author>
  </authors>
  <commentList>
    <comment ref="G1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pkirkov:
Probability / Вероятност</t>
        </r>
      </text>
    </comment>
    <comment ref="H1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<sst xmlns="http://schemas.openxmlformats.org/spreadsheetml/2006/main" count="561" uniqueCount="376">
  <si>
    <t>R-ID</t>
  </si>
  <si>
    <t>A-ID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</si>
  <si>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</si>
  <si>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</si>
  <si>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</si>
  <si>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</si>
  <si>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</si>
  <si>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</si>
  <si>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</si>
  <si>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Ниво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</si>
  <si>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</si>
  <si>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</si>
  <si>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</si>
  <si>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</si>
  <si>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</si>
  <si>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</si>
  <si>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</si>
  <si>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</si>
  <si>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</si>
  <si>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</si>
  <si>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T1566.001 Spearphishing Attachment → T1204.002 Malicious File. Ползват: APT28, APT29, Sandworm, Kimsuky — редовно срещу медии и журналисти</t>
  </si>
  <si>
    <t>Журналистите по работа отварят файлове от непознати податели; макросите не са блокирани, няма sandbox за прикачени файлове</t>
  </si>
  <si>
    <t>Журналист отваря „изтекъл документ“ с макрос и нападателят получава контрол над лаптопа му и сесията му в CMS</t>
  </si>
  <si>
    <t>Антивирус на станциите</t>
  </si>
  <si>
    <t>намаляване</t>
  </si>
  <si>
    <t>Ръководител ИТ</t>
  </si>
  <si>
    <t>R-02</t>
  </si>
  <si>
    <t>A-04 (данни за източници)</t>
  </si>
  <si>
    <t>T1213 Data from Information Repositories. Ползва: APT28</t>
  </si>
  <si>
    <t>Данните за източници стоят в CMS в чист вид и всеки журналист вижда всички записи (няма разделение по роли)</t>
  </si>
  <si>
    <t>Нападател с откраднат акаунт на журналист изнася от CMS контактите на източници и ги разкрива публично</t>
  </si>
  <si>
    <t>Вход с потребител и парола</t>
  </si>
  <si>
    <t>Главен редактор</t>
  </si>
  <si>
    <t>R-03</t>
  </si>
  <si>
    <t>A-01 (CMS портал)</t>
  </si>
  <si>
    <t>T1190 Exploit Public-Facing Application → T1505.003 Web Shell. Ползват: APT28, APT29, Sandworm, APT41</t>
  </si>
  <si>
    <t>CMS слуша директно на :8000 без обратен прокси; плъгините не се обновяват по график</t>
  </si>
  <si>
    <t>Нападател използва уязвим плъгин на CMS, качва web shell и получава достъп до всички материали и до вътрешната мрежа</t>
  </si>
  <si>
    <t>Филтриране по порт на gw</t>
  </si>
  <si>
    <t>Системен администратор</t>
  </si>
  <si>
    <t>R-04</t>
  </si>
  <si>
    <t>A-05 (публичен уебсайт)</t>
  </si>
  <si>
    <t>T1491.002 External Defacement. Ползват: Sandworm, Ember Bear</t>
  </si>
  <si>
    <t>Няма контрол на целостта на публикуваното съдържание и процедура за бързо възстановяване</t>
  </si>
  <si>
    <t>Нападател подменя водещата статия с фалшива новина от името на изданието</t>
  </si>
  <si>
    <t>Ръчна проверка от дежурен редактор</t>
  </si>
  <si>
    <t>R-05</t>
  </si>
  <si>
    <t>A-11 (Keycloak — роли)</t>
  </si>
  <si>
    <t>T1110.003 Password Spraying → T1078 Valid Accounts. Ползват: APT28, APT29, Lazarus</t>
  </si>
  <si>
    <t>Вход само с парола, без MFA и без заключване на акаунта; съществува общ акаунт „redakcia“</t>
  </si>
  <si>
    <t>Нападател налучква слаба парола на редактор и одобрява материали от негово име</t>
  </si>
  <si>
    <t>Политика за сложност на паролата</t>
  </si>
  <si>
    <t>R-06</t>
  </si>
  <si>
    <t>A-07 (печатни файлове)</t>
  </si>
  <si>
    <t>T1565.001 Stored Data Manipulation. Ползва: APT38</t>
  </si>
  <si>
    <t>Няма хеш/подпис между одобрението в CMS и изтеглянето в Пазарджик; изтеглянето е по HTTP</t>
  </si>
  <si>
    <t>Подменен одобрен материал се отпечатва в целия тираж → клевета, съдебни искове</t>
  </si>
  <si>
    <t>Визуална проверка на първия отпечатък</t>
  </si>
  <si>
    <t>Ръководител печатница</t>
  </si>
  <si>
    <t>R-07</t>
  </si>
  <si>
    <t>A-06 (Print Automation Server)</t>
  </si>
  <si>
    <t>T1486 Data Encrypted for Impact (рансъмуер). Ползват: Sandworm, APT38, APT41, FIN7</t>
  </si>
  <si>
    <t>Сървърът е без EDR и мониторинг, обновленията изостават, няма офлайн копие на конфигурацията</t>
  </si>
  <si>
    <t>Рансъмуер криптира Print сървъра и брой на вестника не излиза</t>
  </si>
  <si>
    <t>Антивирус</t>
  </si>
  <si>
    <t>R-08</t>
  </si>
  <si>
    <t>A-10 (WAN връзки)</t>
  </si>
  <si>
    <t>T1021.004 Remote Services: SSH (латерално движение). Ползват: Lazarus, OilRig, FIN7</t>
  </si>
  <si>
    <t>Компрометиран сървър в Пазарджик се използва за SSH вход в архивния сървър в Ловеч</t>
  </si>
  <si>
    <t>—</t>
  </si>
  <si>
    <t>R-09</t>
  </si>
  <si>
    <t>A-09 (архив на изданията)</t>
  </si>
  <si>
    <t>T1485 Data Destruction (wiper). Ползват: Sandworm, Lazarus, APT38</t>
  </si>
  <si>
    <t>Архивът съществува в едно копие на един сървър</t>
  </si>
  <si>
    <t>Wiper изтрива архива на изданията без възможност за възстановяване</t>
  </si>
  <si>
    <t>RAID 1 на диска</t>
  </si>
  <si>
    <t>R-10</t>
  </si>
  <si>
    <t>T1498 Network Denial of Service. Ползва: APT28; масово и от хактивисти</t>
  </si>
  <si>
    <t>Сайтът е на един хостинг, без CDN и защита от DDoS</t>
  </si>
  <si>
    <t>DDoS атака сваля сайта в ден на избори или важна новина</t>
  </si>
  <si>
    <t>прехвърляне</t>
  </si>
  <si>
    <t>Управител</t>
  </si>
  <si>
    <t>R-11</t>
  </si>
  <si>
    <t>A-15 (Wazuh)</t>
  </si>
  <si>
    <t>T1070.001 Clear Windows Event Logs. Ползват: APT28, APT38, APT41</t>
  </si>
  <si>
    <t>Логовете на част от сървърите са само локални; Print сървърът няма Wazuh агент</t>
  </si>
  <si>
    <t>Нападател изтрива логовете и инцидентът не може да бъде разследван</t>
  </si>
  <si>
    <t>Wazuh агент на CMS</t>
  </si>
  <si>
    <t>приемане</t>
  </si>
  <si>
    <t>R-12</t>
  </si>
  <si>
    <t>T1567 Exfiltration Over Web Service. Ползват: APT28, APT38, Magic Hound</t>
  </si>
  <si>
    <t>Няма политика и DLP за AI; служители поставят цели неиздадени текстове във външни AI услуги</t>
  </si>
  <si>
    <t>Неиздаден материал с имена на източници изтича към външна AI услуга</t>
  </si>
  <si>
    <t>R-13</t>
  </si>
  <si>
    <t>A-14 (електронна поща)</t>
  </si>
  <si>
    <t>T1114.003 Email Forwarding Rule. Ползват: Kimsuky, Star Blizzard, LAPSUS$</t>
  </si>
  <si>
    <t>Няма аларма при ново правило за препращане; външното автоматично препращане е разрешено</t>
  </si>
  <si>
    <t>Нападател поставя скрито правило и месеци чете пощата на главния редактор</t>
  </si>
  <si>
    <t>Спам филтър на доставчика</t>
  </si>
  <si>
    <t>R-14</t>
  </si>
  <si>
    <t>T1557 Adversary-in-the-Middle. Ползват: Kimsuky, Mustang Panda, Sea Turtle</t>
  </si>
  <si>
    <t>Трафикът към CMS (вкл. нощният GET от Пазарджик) е по HTTP без TLS</t>
  </si>
  <si>
    <t>Нападател в WAN прихваща сесия или парола към CMS</t>
  </si>
  <si>
    <t>R-15</t>
  </si>
  <si>
    <t>R-16</t>
  </si>
  <si>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</si>
  <si>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</si>
  <si>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</si>
  <si>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</si>
  <si>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</si>
  <si>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</si>
  <si>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</si>
  <si>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</si>
  <si>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</si>
  <si>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</si>
  <si>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</si>
  <si>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</si>
  <si>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</si>
  <si>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</si>
  <si>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</si>
  <si>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</si>
  <si>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</si>
  <si>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</si>
  <si>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</si>
  <si>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</si>
  <si>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</si>
  <si>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</si>
  <si>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</si>
  <si>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</si>
  <si>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</si>
  <si>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</si>
  <si>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</si>
  <si>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</si>
  <si>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</si>
  <si>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</si>
  <si>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</si>
  <si>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</si>
  <si>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</si>
  <si>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</si>
  <si>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</si>
  <si>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</si>
  <si>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</si>
  <si>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</si>
  <si>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</si>
  <si>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</si>
  <si>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</si>
  <si>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</si>
  <si>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</si>
  <si>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</si>
  <si>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</si>
  <si>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</si>
  <si>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</si>
  <si>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</si>
  <si>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</si>
  <si>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</si>
  <si>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</si>
  <si>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</si>
  <si>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</si>
  <si>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</si>
  <si>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</si>
  <si>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</si>
  <si>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</si>
  <si>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</si>
  <si>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</si>
  <si>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</si>
  <si>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</si>
  <si>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</si>
  <si>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</si>
  <si>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</si>
  <si>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</si>
  <si>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</si>
  <si>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</si>
  <si>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</si>
  <si>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</si>
  <si>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</si>
  <si>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</si>
  <si>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</si>
  <si>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</si>
  <si>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</si>
  <si>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</si>
  <si>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</si>
  <si>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</si>
  <si>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</si>
  <si>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</si>
  <si>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</si>
  <si>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</si>
  <si>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</si>
  <si>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</si>
  <si>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</si>
  <si>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</si>
  <si>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</si>
  <si>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</si>
  <si>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</si>
  <si>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</si>
  <si>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</si>
  <si>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</si>
  <si>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</si>
  <si>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</si>
  <si>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</si>
  <si>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CMS портал (редакционна система, :8000)</t>
  </si>
  <si>
    <t>софтуер</t>
  </si>
  <si>
    <t>поверителна</t>
  </si>
  <si>
    <t>София, 10.100.0.1, LAN-редакция</t>
  </si>
  <si>
    <t>A-02</t>
  </si>
  <si>
    <t>Firewall / gateway София (nftables)</t>
  </si>
  <si>
    <t>мрежа</t>
  </si>
  <si>
    <t>вътрешна</t>
  </si>
  <si>
    <t>София, 10.100.0.10</t>
  </si>
  <si>
    <t>A-19</t>
  </si>
  <si>
    <t>Единствената точка за филтриране между офисите и интернет</t>
  </si>
  <si>
    <t>A-03</t>
  </si>
  <si>
    <t>Неиздадени редакционни материали</t>
  </si>
  <si>
    <t>информация</t>
  </si>
  <si>
    <t>Журналисти, редактори</t>
  </si>
  <si>
    <t>CMS (A-01)</t>
  </si>
  <si>
    <t>Ембарго до публикуване</t>
  </si>
  <si>
    <t>A-04</t>
  </si>
  <si>
    <t>Данни за журналистически източници</t>
  </si>
  <si>
    <t>Журналисти</t>
  </si>
  <si>
    <t>строго поверителна</t>
  </si>
  <si>
    <t>CMS (A-01), лаптопи (A-13)</t>
  </si>
  <si>
    <t>A-01, A-13</t>
  </si>
  <si>
    <t>Лични данни (GDPR); разкриването е невъзстановимо</t>
  </si>
  <si>
    <t>A-05</t>
  </si>
  <si>
    <t>Публичен новинарски уебсайт</t>
  </si>
  <si>
    <t>услуга</t>
  </si>
  <si>
    <t>публична</t>
  </si>
  <si>
    <t>хостинг / DMZ</t>
  </si>
  <si>
    <t>A-01, A-02</t>
  </si>
  <si>
    <t>Приходи от реклама и репутация</t>
  </si>
  <si>
    <t>A-06</t>
  </si>
  <si>
    <t>Print Automation Server</t>
  </si>
  <si>
    <t>хардуер</t>
  </si>
  <si>
    <t>Оператор предпечат</t>
  </si>
  <si>
    <t>Пазарджик, 10.101.0.20</t>
  </si>
  <si>
    <t>A-01, A-10</t>
  </si>
  <si>
    <t>Нощем тегли одобрените материали (GET :8000)</t>
  </si>
  <si>
    <t>A-07</t>
  </si>
  <si>
    <t>Печатни файлове на изданието (одобрени материали)</t>
  </si>
  <si>
    <t>Пазарджик (A-06)</t>
  </si>
  <si>
    <t>A-01, A-06</t>
  </si>
  <si>
    <t>A-08</t>
  </si>
  <si>
    <t>Archive Server (SFTP :2222)</t>
  </si>
  <si>
    <t>Архивар</t>
  </si>
  <si>
    <t>Ловеч, 10.102.0.10</t>
  </si>
  <si>
    <t>Само приема връзки от CMS, не инициира навън</t>
  </si>
  <si>
    <t>A-09</t>
  </si>
  <si>
    <t>Архив на изданията</t>
  </si>
  <si>
    <t>Ловеч (A-08)</t>
  </si>
  <si>
    <t>A-10</t>
  </si>
  <si>
    <t>WAN връзки между офисите</t>
  </si>
  <si>
    <t>Интернет доставчик</t>
  </si>
  <si>
    <t>София–Пазарджик, София–Ловеч</t>
  </si>
  <si>
    <t>A-11</t>
  </si>
  <si>
    <t>София</t>
  </si>
  <si>
    <t>H1, урок 7</t>
  </si>
  <si>
    <t>A-12</t>
  </si>
  <si>
    <t>Обратен прокси пред CMS (oauth2-proxy)</t>
  </si>
  <si>
    <t>София, LAN-редакция</t>
  </si>
  <si>
    <t>A-02, A-11</t>
  </si>
  <si>
    <t>H2, урок 11</t>
  </si>
  <si>
    <t>A-13</t>
  </si>
  <si>
    <t>Работни станции и лаптопи на журналистите</t>
  </si>
  <si>
    <t>София, 10.100.0.0/24 + на терен</t>
  </si>
  <si>
    <t>A-02, A-14</t>
  </si>
  <si>
    <t>Работят и извън офиса</t>
  </si>
  <si>
    <t>A-14</t>
  </si>
  <si>
    <t>Електронна поща на редакцията</t>
  </si>
  <si>
    <t>облак (външен доставчик)</t>
  </si>
  <si>
    <t>външен доставчик</t>
  </si>
  <si>
    <t>Основен канал за сигнали от източници</t>
  </si>
  <si>
    <t>A-15</t>
  </si>
  <si>
    <t>A-16</t>
  </si>
  <si>
    <t>Системен администратор (ключово знание)</t>
  </si>
  <si>
    <t>хора</t>
  </si>
  <si>
    <t>Единственият с пълен достъп до всички системи</t>
  </si>
  <si>
    <t>A-17</t>
  </si>
  <si>
    <t>AI асистент за редактиране и проверка на текст</t>
  </si>
  <si>
    <t>Редактори</t>
  </si>
  <si>
    <t>външно API</t>
  </si>
  <si>
    <t>A-01, външен доставчик</t>
  </si>
  <si>
    <t>H5, урок 17</t>
  </si>
  <si>
    <t>A-18</t>
  </si>
  <si>
    <t>Журналисти и редактори</t>
  </si>
  <si>
    <t>София + на терен</t>
  </si>
  <si>
    <t>A-20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</si>
  <si>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</si>
  <si>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</si>
  <si>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</si>
  <si>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</si>
  <si>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</si>
  <si>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</si>
  <si>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</si>
  <si>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</si>
  <si>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</si>
  <si>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</si>
  <si>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</si>
  <si>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Фишинг с прикачен файл компрометира журналист</t>
  </si>
  <si>
    <t>Блок на макроси от интернет и на .iso/.lnk/.js в пощата (врем. мярка до 7 дни); sandbox за прикачени файлове; Wazuh аларма Office → cmd/powershell; обучение на журналистите. ATT&amp;CK: M1049, M1021, M1054, M1017</t>
  </si>
  <si>
    <t>A.6.3, A.8.7, A.8.16, A.8.23</t>
  </si>
  <si>
    <t>планиран</t>
  </si>
  <si>
    <t>Изнасяне и разкриване на източници от CMS</t>
  </si>
  <si>
    <t>Източниците в отделно криптирано поле; достъп само за автора и главния редактор (роли в Keycloak); одит на всеки достъп в Wazuh. ATT&amp;CK: M1041, M1018, M1047</t>
  </si>
  <si>
    <t>A.5.12, A.5.15, A.5.34, A.8.3, A.8.24</t>
  </si>
  <si>
    <t>Експлойт на CMS и web shell</t>
  </si>
  <si>
    <t>CMS само зад oauth2-proxy на :443 с TLS; :8000 достъпен само от проксито и от 10.101.0.20 (nftables) — врем. мярка до 7 дни; месечно сканиране за уязвимости и обновяване на плъгините. ATT&amp;CK: M1030, M1035, M1051, M1016</t>
  </si>
  <si>
    <t>A.8.8, A.8.20, A.8.22</t>
  </si>
  <si>
    <t>Дефейсмънт на сайта с фалшива новина</t>
  </si>
  <si>
    <t>Контрол на целостта (Wazuh FIM) върху публичните файлове; резервно копие и процедура за възстановяване до 30 мин. ATT&amp;CK: M1053</t>
  </si>
  <si>
    <t>A.8.13, A.8.16, A.5.26</t>
  </si>
  <si>
    <t>Password spraying срещу акаунти в Keycloak</t>
  </si>
  <si>
    <t>MFA (TOTP) за редактор и администратор; заключване след 5 грешни опита; премахване на общия акаунт „redakcia“ и смяна на паролите (врем. мярка до 7 дни). ATT&amp;CK: M1032, M1036, M1027</t>
  </si>
  <si>
    <t>A.5.16, A.5.17, A.8.5</t>
  </si>
  <si>
    <t>Подмяна на одобрен материал преди печат</t>
  </si>
  <si>
    <t>SHA-256 хеш на одобрения материал в CMS, проверка в Print сървъра преди печат; изтегляне само по HTTPS; одобрява само роля „редактор“. ATT&amp;CK: M1041, M1022</t>
  </si>
  <si>
    <t>A.8.3, A.8.24</t>
  </si>
  <si>
    <t>Рансъмуер спира Print сървъра</t>
  </si>
  <si>
    <t>Wazuh агент и EDR; месечни обновления; офлайн копие на шаблоните и конфигурацията; тест на възстановяването. ATT&amp;CK: M1040, M1053</t>
  </si>
  <si>
    <t>A.8.7, A.8.8, A.8.13</t>
  </si>
  <si>
    <t>Латерално движение Пазарджик → Ловеч</t>
  </si>
  <si>
    <t>nftables: Пазарджик → София само TCP 8000 към 10.100.0.1; drop 10.101.0.0/24 ↔ 10.102.0.0/24; SFTP :2222 в Ловеч само от 10.100.0.1; Ловеч не инициира навън. ATT&amp;CK: M1030, M1035</t>
  </si>
  <si>
    <t>A.8.20, A.8.22</t>
  </si>
  <si>
    <t>Wiper унищожава архива</t>
  </si>
  <si>
    <t>Второ офлайн копие на архива (месечно, съхранявано в София); тримесечен тест на възстановяване. ATT&amp;CK: M1053</t>
  </si>
  <si>
    <t>A.8.13</t>
  </si>
  <si>
    <t>DDoS сваля сайта</t>
  </si>
  <si>
    <t>Договор с CDN/anti-DDoS доставчик със SLA. ATT&amp;CK: M1037. Непрехвърлено остава: репутационната щета при прекъсване</t>
  </si>
  <si>
    <t>A.5.20, A.5.30</t>
  </si>
  <si>
    <t>Изтриване на логове пречи на разследване</t>
  </si>
  <si>
    <t>— (под апетита; агентите се добавят в уроци 13–14)</t>
  </si>
  <si>
    <t>приет</t>
  </si>
  <si>
    <t>Изтичане на материали към външен AI</t>
  </si>
  <si>
    <t>Политика за AI (без източници и неиздадени материали); само одобрен AI асистент с договор без обучение върху данните; блок на други AI домейни на проксито. ATT&amp;CK: M1057, M1021</t>
  </si>
  <si>
    <t>A.5.10, A.5.23, A.8.12</t>
  </si>
  <si>
    <t>Скрито правило за препращане на поща</t>
  </si>
  <si>
    <t>— (под апетита; наблюдава се)</t>
  </si>
  <si>
    <t>Прихващане на нешифрован трафик към CMS</t>
  </si>
  <si>
    <t>— (под апетита; пада допълнително с TLS от R-03)</t>
  </si>
  <si>
    <t>Изтриване на резервните копия преди рансъмуер</t>
  </si>
  <si>
    <t>Правило 3-2-1 с едно immutable/офлайн копие; отделен backup акаунт, до който админът на CMS няма достъп. ATT&amp;CK: M1053, M1018</t>
  </si>
  <si>
    <t>A.8.2, A.8.13</t>
  </si>
  <si>
    <t>Неоторизирано устройство в сървърното</t>
  </si>
  <si>
    <t>— (под апетита)</t>
  </si>
  <si>
    <t>Heat map на риска — MediaPrint House OOD</t>
  </si>
  <si>
    <t>Клетките се пълнят автоматично от „Регистър на риска“ (P × I). Вертикално — вероятност, хоризонтално — въздействие.</t>
  </si>
  <si>
    <t>ПЪРВОНАЧАЛЕН РИСК (P × I)</t>
  </si>
  <si>
    <t>ОСТАТЪЧЕН РИСК (след третиране)</t>
  </si>
  <si>
    <t>P = 5</t>
  </si>
  <si>
    <t>P = 4</t>
  </si>
  <si>
    <t>P = 3</t>
  </si>
  <si>
    <t>P = 2</t>
  </si>
  <si>
    <t>P = 1</t>
  </si>
  <si>
    <t>I = 1</t>
  </si>
  <si>
    <t>I = 2</t>
  </si>
  <si>
    <t>I = 3</t>
  </si>
  <si>
    <t>I = 4</t>
  </si>
  <si>
    <t>I = 5</t>
  </si>
  <si>
    <t>Въздействие →</t>
  </si>
  <si>
    <t>Първонач. брой</t>
  </si>
  <si>
    <t>Остат. брой</t>
  </si>
  <si>
    <t>нисък</t>
  </si>
  <si>
    <t>умерен</t>
  </si>
  <si>
    <t>висок</t>
  </si>
  <si>
    <t>критичен</t>
  </si>
  <si>
    <t>Риск апетит:</t>
  </si>
  <si>
    <t>Неприемливи (над апетита):</t>
  </si>
  <si>
    <t>A-02, A-11, A-12</t>
  </si>
  <si>
    <t>-</t>
  </si>
  <si>
    <t>Целостта е критична - каквото е тук, отива на хартия</t>
  </si>
  <si>
    <t>Историческа стойност; при загуба - невъзстановим</t>
  </si>
  <si>
    <t>Пазарджик - Ловеч трябва да е блокирано</t>
  </si>
  <si>
    <t>Ядрото на бизнеса - всеки материал минава оттук</t>
  </si>
  <si>
    <t>Identity услуга (Keycloak - роли журналист, редактор, администратор)</t>
  </si>
  <si>
    <t>A-17 (журналисти и редактори)</t>
  </si>
  <si>
    <t>A-16 (AI асистент)</t>
  </si>
  <si>
    <t>Трафикът между клоновете не се филтрира - от Пазарджик се стига до SFTP :2222 в Ловеч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</si>
</sst>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</font>
    <font>
      <i/>
      <sz val="9"/>
      <name val="Arial"/>
    </font>
    <font>
      <b/>
      <sz val="11"/>
      <color rgb="FFFFFFFF"/>
      <name val="Arial"/>
    </font>
    <font>
      <b/>
      <sz val="11"/>
      <name val="Arial"/>
    </font>
    <font>
      <b/>
      <sz val="9"/>
      <name val="Arial"/>
    </font>
    <font>
      <i/>
      <sz val="11"/>
      <name val="Arial"/>
    </font>
    <font>
      <sz val="11"/>
      <name val="Arial"/>
    </font>
    <font>
      <b/>
      <sz val="11"/>
      <color rgb="FF3F3F3F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  <fill>
      <patternFill patternType="solid">
        <fgColor rgb="FF1F3864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FFD08A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7" fillId="16" borderId="3" applyNumberFormat="0" applyAlignment="0" applyProtection="0"/>
  </cellStyleXfs>
  <cellXfs count="4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10" fillId="0" borderId="0" xfId="0" applyFont="1"/>
    <xf numFmtId="0" fontId="11" fillId="0" borderId="0" xfId="0" applyFont="1"/>
    <xf numFmtId="0" fontId="13" fillId="11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0" fillId="11" borderId="0" xfId="0" applyFill="1"/>
    <xf numFmtId="0" fontId="13" fillId="11" borderId="2" xfId="0" applyFont="1" applyFill="1" applyBorder="1" applyAlignment="1">
      <alignment horizontal="center"/>
    </xf>
    <xf numFmtId="0" fontId="15" fillId="0" borderId="0" xfId="0" applyFont="1"/>
    <xf numFmtId="0" fontId="13" fillId="0" borderId="0" xfId="0" applyFont="1"/>
    <xf numFmtId="0" fontId="16" fillId="0" borderId="0" xfId="0" applyFont="1"/>
    <xf numFmtId="0" fontId="16" fillId="15" borderId="2" xfId="0" applyFont="1" applyFill="1" applyBorder="1"/>
    <xf numFmtId="0" fontId="16" fillId="0" borderId="2" xfId="0" applyFont="1" applyBorder="1"/>
    <xf numFmtId="0" fontId="16" fillId="12" borderId="2" xfId="0" applyFont="1" applyFill="1" applyBorder="1"/>
    <xf numFmtId="0" fontId="16" fillId="13" borderId="2" xfId="0" applyFont="1" applyFill="1" applyBorder="1"/>
    <xf numFmtId="0" fontId="16" fillId="14" borderId="2" xfId="0" applyFont="1" applyFill="1" applyBorder="1"/>
    <xf numFmtId="0" fontId="12" fillId="10" borderId="0" xfId="0" applyFont="1" applyFill="1"/>
    <xf numFmtId="0" fontId="0" fillId="0" borderId="0" xfId="0"/>
    <xf numFmtId="0" fontId="17" fillId="16" borderId="3" xfId="1" applyAlignment="1">
      <alignment vertical="top" wrapText="1"/>
    </xf>
  </cellXfs>
  <cellStyles count="2">
    <cellStyle name="Normal" xfId="0" builtinId="0"/>
    <cellStyle name="Output" xfId="1" builtinId="21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opLeftCell="A9" zoomScaleNormal="100" workbookViewId="0">
      <selection activeCell="A21" sqref="A21"/>
    </sheetView>
  </sheetViews>
  <sheetFormatPr defaultColWidth="8.6640625" defaultRowHeight="14.4" x14ac:dyDescent="0.3"/>
  <cols>
    <col min="1" max="1" width="110" customWidth="1"/>
  </cols>
  <sheetData>
    <row r="1" spans="1:1" ht="36" customHeight="1" x14ac:dyDescent="0.3">
      <c r="A1" s="1" t="s">
        <v>105</v>
      </c>
    </row>
    <row r="2" spans="1:1" x14ac:dyDescent="0.3">
      <c r="A2" s="2"/>
    </row>
    <row r="3" spans="1:1" x14ac:dyDescent="0.3">
      <c r="A3" s="3" t="s">
        <v>106</v>
      </c>
    </row>
    <row r="4" spans="1:1" x14ac:dyDescent="0.3">
      <c r="A4" s="2"/>
    </row>
    <row r="5" spans="1:1" x14ac:dyDescent="0.3">
      <c r="A5" s="3" t="s">
        <v>107</v>
      </c>
    </row>
    <row r="6" spans="1:1" x14ac:dyDescent="0.3">
      <c r="A6" s="2" t="s">
        <v>108</v>
      </c>
    </row>
    <row r="7" spans="1:1" ht="28.5" customHeight="1" x14ac:dyDescent="0.3">
      <c r="A7" s="2" t="s">
        <v>109</v>
      </c>
    </row>
    <row r="8" spans="1:1" x14ac:dyDescent="0.3">
      <c r="A8" s="2" t="s">
        <v>110</v>
      </c>
    </row>
    <row r="9" spans="1:1" x14ac:dyDescent="0.3">
      <c r="A9" s="2"/>
    </row>
    <row r="10" spans="1:1" x14ac:dyDescent="0.3">
      <c r="A10" s="3" t="s">
        <v>111</v>
      </c>
    </row>
    <row r="11" spans="1:1" x14ac:dyDescent="0.3">
      <c r="A11" s="2" t="s">
        <v>112</v>
      </c>
    </row>
    <row r="12" spans="1:1" ht="28.5" customHeight="1" x14ac:dyDescent="0.3">
      <c r="A12" s="2" t="s">
        <v>113</v>
      </c>
    </row>
    <row r="13" spans="1:1" ht="28.5" customHeight="1" x14ac:dyDescent="0.3">
      <c r="A13" s="2" t="s">
        <v>114</v>
      </c>
    </row>
    <row r="14" spans="1:1" x14ac:dyDescent="0.3">
      <c r="A14" s="2" t="s">
        <v>115</v>
      </c>
    </row>
    <row r="15" spans="1:1" x14ac:dyDescent="0.3">
      <c r="A15" s="2" t="s">
        <v>116</v>
      </c>
    </row>
    <row r="16" spans="1:1" x14ac:dyDescent="0.3">
      <c r="A16" s="2"/>
    </row>
    <row r="17" spans="1:1" x14ac:dyDescent="0.3">
      <c r="A17" s="3" t="s">
        <v>117</v>
      </c>
    </row>
    <row r="18" spans="1:1" x14ac:dyDescent="0.3">
      <c r="A18" s="2" t="s">
        <v>118</v>
      </c>
    </row>
    <row r="19" spans="1:1" x14ac:dyDescent="0.3">
      <c r="A19" s="2" t="s">
        <v>119</v>
      </c>
    </row>
    <row r="20" spans="1:1" x14ac:dyDescent="0.3">
      <c r="A20" s="2" t="s">
        <v>120</v>
      </c>
    </row>
    <row r="21" spans="1:1" x14ac:dyDescent="0.3">
      <c r="A21" s="2"/>
    </row>
    <row r="22" spans="1:1" ht="30" customHeight="1" x14ac:dyDescent="0.3">
      <c r="A22" s="4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8.25" customHeight="1" x14ac:dyDescent="0.3">
      <c r="A1" s="5" t="s">
        <v>122</v>
      </c>
      <c r="B1" s="6">
        <v>9</v>
      </c>
    </row>
    <row r="2" spans="1:5" ht="36" customHeight="1" x14ac:dyDescent="0.3">
      <c r="A2" s="7" t="s">
        <v>123</v>
      </c>
    </row>
    <row r="4" spans="1:5" ht="30" customHeight="1" x14ac:dyDescent="0.3">
      <c r="A4" s="8" t="s">
        <v>124</v>
      </c>
    </row>
    <row r="5" spans="1:5" x14ac:dyDescent="0.3">
      <c r="A5" s="5" t="s">
        <v>125</v>
      </c>
      <c r="B5" s="9" t="s">
        <v>126</v>
      </c>
    </row>
    <row r="6" spans="1:5" x14ac:dyDescent="0.3">
      <c r="A6" s="5" t="s">
        <v>127</v>
      </c>
      <c r="B6" s="9" t="s">
        <v>128</v>
      </c>
    </row>
    <row r="7" spans="1:5" x14ac:dyDescent="0.3">
      <c r="A7" s="5" t="s">
        <v>129</v>
      </c>
      <c r="B7" s="9" t="s">
        <v>130</v>
      </c>
    </row>
    <row r="8" spans="1:5" ht="25.5" customHeight="1" x14ac:dyDescent="0.3">
      <c r="A8" s="5" t="s">
        <v>131</v>
      </c>
      <c r="B8" s="9" t="s">
        <v>132</v>
      </c>
    </row>
    <row r="9" spans="1:5" x14ac:dyDescent="0.3">
      <c r="A9" s="5" t="s">
        <v>133</v>
      </c>
      <c r="B9" s="9" t="s">
        <v>134</v>
      </c>
    </row>
    <row r="11" spans="1:5" ht="45" customHeight="1" x14ac:dyDescent="0.3">
      <c r="A11" s="8" t="s">
        <v>135</v>
      </c>
    </row>
    <row r="12" spans="1:5" x14ac:dyDescent="0.3">
      <c r="A12" s="10" t="s">
        <v>9</v>
      </c>
      <c r="B12" s="10" t="s">
        <v>136</v>
      </c>
      <c r="C12" s="10" t="s">
        <v>137</v>
      </c>
      <c r="D12" s="10" t="s">
        <v>138</v>
      </c>
      <c r="E12" s="10" t="s">
        <v>139</v>
      </c>
    </row>
    <row r="13" spans="1:5" ht="25.5" customHeight="1" x14ac:dyDescent="0.3">
      <c r="A13" s="5" t="s">
        <v>140</v>
      </c>
      <c r="B13" s="9" t="s">
        <v>141</v>
      </c>
      <c r="C13" s="9" t="s">
        <v>142</v>
      </c>
      <c r="D13" s="9" t="s">
        <v>143</v>
      </c>
      <c r="E13" s="9" t="s">
        <v>144</v>
      </c>
    </row>
    <row r="14" spans="1:5" ht="25.5" customHeight="1" x14ac:dyDescent="0.3">
      <c r="A14" s="5" t="s">
        <v>145</v>
      </c>
      <c r="B14" s="9" t="s">
        <v>146</v>
      </c>
      <c r="C14" s="9" t="s">
        <v>147</v>
      </c>
      <c r="D14" s="9" t="s">
        <v>148</v>
      </c>
      <c r="E14" s="9" t="s">
        <v>149</v>
      </c>
    </row>
    <row r="15" spans="1:5" ht="25.5" customHeight="1" x14ac:dyDescent="0.3">
      <c r="A15" s="5" t="s">
        <v>150</v>
      </c>
      <c r="B15" s="9" t="s">
        <v>151</v>
      </c>
      <c r="C15" s="9" t="s">
        <v>152</v>
      </c>
      <c r="D15" s="9" t="s">
        <v>153</v>
      </c>
      <c r="E15" s="9" t="s">
        <v>154</v>
      </c>
    </row>
    <row r="16" spans="1:5" ht="25.5" customHeight="1" x14ac:dyDescent="0.3">
      <c r="A16" s="5" t="s">
        <v>155</v>
      </c>
      <c r="B16" s="9" t="s">
        <v>156</v>
      </c>
      <c r="C16" s="9" t="s">
        <v>157</v>
      </c>
      <c r="D16" s="9" t="s">
        <v>158</v>
      </c>
      <c r="E16" s="9" t="s">
        <v>159</v>
      </c>
    </row>
    <row r="17" spans="1:5" ht="25.5" customHeight="1" x14ac:dyDescent="0.3">
      <c r="A17" s="5" t="s">
        <v>160</v>
      </c>
      <c r="B17" s="9" t="s">
        <v>161</v>
      </c>
      <c r="C17" s="9" t="s">
        <v>162</v>
      </c>
      <c r="D17" s="9" t="s">
        <v>163</v>
      </c>
      <c r="E17" s="9" t="s">
        <v>164</v>
      </c>
    </row>
    <row r="19" spans="1:5" ht="30" customHeight="1" x14ac:dyDescent="0.3">
      <c r="A19" s="8" t="s">
        <v>165</v>
      </c>
    </row>
    <row r="20" spans="1:5" x14ac:dyDescent="0.3">
      <c r="A20" s="10" t="s">
        <v>9</v>
      </c>
      <c r="B20" s="10" t="s">
        <v>166</v>
      </c>
      <c r="C20" s="10" t="s">
        <v>167</v>
      </c>
      <c r="D20" s="10" t="s">
        <v>168</v>
      </c>
    </row>
    <row r="21" spans="1:5" ht="25.5" customHeight="1" x14ac:dyDescent="0.3">
      <c r="A21" s="5" t="s">
        <v>169</v>
      </c>
      <c r="B21" s="9" t="s">
        <v>170</v>
      </c>
      <c r="C21" s="11"/>
      <c r="D21" s="9" t="s">
        <v>171</v>
      </c>
    </row>
    <row r="22" spans="1:5" x14ac:dyDescent="0.3">
      <c r="A22" s="5" t="s">
        <v>172</v>
      </c>
      <c r="B22" s="9" t="s">
        <v>173</v>
      </c>
      <c r="C22" s="12"/>
      <c r="D22" s="9" t="s">
        <v>174</v>
      </c>
    </row>
    <row r="23" spans="1:5" x14ac:dyDescent="0.3">
      <c r="A23" s="5" t="s">
        <v>175</v>
      </c>
      <c r="B23" s="9" t="s">
        <v>176</v>
      </c>
      <c r="C23" s="13"/>
      <c r="D23" s="9" t="s">
        <v>177</v>
      </c>
    </row>
    <row r="24" spans="1:5" ht="38.25" customHeight="1" x14ac:dyDescent="0.3">
      <c r="A24" s="5" t="s">
        <v>178</v>
      </c>
      <c r="B24" s="9" t="s">
        <v>179</v>
      </c>
      <c r="C24" s="14"/>
      <c r="D24" s="9" t="s">
        <v>180</v>
      </c>
    </row>
    <row r="26" spans="1:5" x14ac:dyDescent="0.3">
      <c r="A26" s="8" t="s">
        <v>181</v>
      </c>
    </row>
    <row r="27" spans="1:5" ht="25.5" customHeight="1" x14ac:dyDescent="0.3">
      <c r="A27" s="5" t="s">
        <v>182</v>
      </c>
      <c r="B27" s="9" t="s">
        <v>183</v>
      </c>
    </row>
    <row r="28" spans="1:5" ht="25.5" customHeight="1" x14ac:dyDescent="0.3">
      <c r="A28" s="5" t="s">
        <v>184</v>
      </c>
      <c r="B28" s="9" t="s">
        <v>185</v>
      </c>
    </row>
    <row r="29" spans="1:5" x14ac:dyDescent="0.3">
      <c r="A29" s="5" t="s">
        <v>186</v>
      </c>
      <c r="B29" s="9" t="s">
        <v>187</v>
      </c>
    </row>
    <row r="30" spans="1:5" ht="25.5" customHeight="1" x14ac:dyDescent="0.3">
      <c r="A30" s="5" t="s">
        <v>188</v>
      </c>
      <c r="B30" s="9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7"/>
  <sheetViews>
    <sheetView zoomScaleNormal="100" workbookViewId="0">
      <pane ySplit="1" topLeftCell="A12" activePane="bottomLeft" state="frozen"/>
      <selection pane="bottomLeft" activeCell="B13" sqref="B13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1</v>
      </c>
      <c r="B1" s="15" t="s">
        <v>190</v>
      </c>
      <c r="C1" s="15" t="s">
        <v>191</v>
      </c>
      <c r="D1" s="15" t="s">
        <v>192</v>
      </c>
      <c r="E1" s="15" t="s">
        <v>193</v>
      </c>
      <c r="F1" s="15" t="s">
        <v>194</v>
      </c>
      <c r="G1" s="15" t="s">
        <v>195</v>
      </c>
      <c r="H1" s="15" t="s">
        <v>196</v>
      </c>
      <c r="I1" s="15" t="s">
        <v>197</v>
      </c>
    </row>
    <row r="2" spans="1:9" ht="25.5" customHeight="1" x14ac:dyDescent="0.3">
      <c r="A2" s="16" t="s">
        <v>198</v>
      </c>
      <c r="B2" s="16" t="s">
        <v>199</v>
      </c>
      <c r="C2" s="16" t="s">
        <v>200</v>
      </c>
      <c r="D2" s="16" t="s">
        <v>32</v>
      </c>
      <c r="E2" s="16" t="s">
        <v>39</v>
      </c>
      <c r="F2" s="16" t="s">
        <v>201</v>
      </c>
      <c r="G2" s="16" t="s">
        <v>202</v>
      </c>
      <c r="H2" s="16" t="s">
        <v>366</v>
      </c>
      <c r="I2" s="17" t="s">
        <v>371</v>
      </c>
    </row>
    <row r="3" spans="1:9" ht="25.5" customHeight="1" x14ac:dyDescent="0.3">
      <c r="A3" s="16" t="s">
        <v>203</v>
      </c>
      <c r="B3" s="16" t="s">
        <v>204</v>
      </c>
      <c r="C3" s="16" t="s">
        <v>205</v>
      </c>
      <c r="D3" s="16" t="s">
        <v>25</v>
      </c>
      <c r="E3" s="16" t="s">
        <v>39</v>
      </c>
      <c r="F3" s="16" t="s">
        <v>206</v>
      </c>
      <c r="G3" s="16" t="s">
        <v>207</v>
      </c>
      <c r="H3" s="16"/>
      <c r="I3" s="17" t="s">
        <v>209</v>
      </c>
    </row>
    <row r="4" spans="1:9" ht="25.5" customHeight="1" x14ac:dyDescent="0.3">
      <c r="A4" s="16" t="s">
        <v>210</v>
      </c>
      <c r="B4" s="16" t="s">
        <v>211</v>
      </c>
      <c r="C4" s="16" t="s">
        <v>212</v>
      </c>
      <c r="D4" s="16" t="s">
        <v>32</v>
      </c>
      <c r="E4" s="16" t="s">
        <v>213</v>
      </c>
      <c r="F4" s="16" t="s">
        <v>201</v>
      </c>
      <c r="G4" s="16" t="s">
        <v>214</v>
      </c>
      <c r="H4" s="16" t="s">
        <v>198</v>
      </c>
      <c r="I4" s="17" t="s">
        <v>215</v>
      </c>
    </row>
    <row r="5" spans="1:9" ht="25.5" customHeight="1" x14ac:dyDescent="0.3">
      <c r="A5" s="16" t="s">
        <v>216</v>
      </c>
      <c r="B5" s="16" t="s">
        <v>217</v>
      </c>
      <c r="C5" s="16" t="s">
        <v>212</v>
      </c>
      <c r="D5" s="16" t="s">
        <v>32</v>
      </c>
      <c r="E5" s="16" t="s">
        <v>218</v>
      </c>
      <c r="F5" s="16" t="s">
        <v>219</v>
      </c>
      <c r="G5" s="16" t="s">
        <v>220</v>
      </c>
      <c r="H5" s="16" t="s">
        <v>221</v>
      </c>
      <c r="I5" s="17" t="s">
        <v>222</v>
      </c>
    </row>
    <row r="6" spans="1:9" ht="25.5" customHeight="1" x14ac:dyDescent="0.3">
      <c r="A6" s="16" t="s">
        <v>223</v>
      </c>
      <c r="B6" s="16" t="s">
        <v>224</v>
      </c>
      <c r="C6" s="16" t="s">
        <v>225</v>
      </c>
      <c r="D6" s="16" t="s">
        <v>81</v>
      </c>
      <c r="E6" s="16" t="s">
        <v>32</v>
      </c>
      <c r="F6" s="16" t="s">
        <v>226</v>
      </c>
      <c r="G6" s="16" t="s">
        <v>227</v>
      </c>
      <c r="H6" s="16" t="s">
        <v>228</v>
      </c>
      <c r="I6" s="17" t="s">
        <v>229</v>
      </c>
    </row>
    <row r="7" spans="1:9" ht="25.5" customHeight="1" x14ac:dyDescent="0.3">
      <c r="A7" s="16" t="s">
        <v>230</v>
      </c>
      <c r="B7" s="16" t="s">
        <v>231</v>
      </c>
      <c r="C7" s="16" t="s">
        <v>232</v>
      </c>
      <c r="D7" s="16" t="s">
        <v>58</v>
      </c>
      <c r="E7" s="16" t="s">
        <v>233</v>
      </c>
      <c r="F7" s="16" t="s">
        <v>206</v>
      </c>
      <c r="G7" s="16" t="s">
        <v>234</v>
      </c>
      <c r="H7" s="16" t="s">
        <v>235</v>
      </c>
      <c r="I7" s="17" t="s">
        <v>236</v>
      </c>
    </row>
    <row r="8" spans="1:9" ht="26.4" x14ac:dyDescent="0.3">
      <c r="A8" s="16" t="s">
        <v>237</v>
      </c>
      <c r="B8" s="16" t="s">
        <v>238</v>
      </c>
      <c r="C8" s="16" t="s">
        <v>212</v>
      </c>
      <c r="D8" s="16" t="s">
        <v>58</v>
      </c>
      <c r="E8" s="16" t="s">
        <v>233</v>
      </c>
      <c r="F8" s="16" t="s">
        <v>206</v>
      </c>
      <c r="G8" s="16" t="s">
        <v>239</v>
      </c>
      <c r="H8" s="16" t="s">
        <v>240</v>
      </c>
      <c r="I8" s="17" t="s">
        <v>368</v>
      </c>
    </row>
    <row r="9" spans="1:9" ht="26.4" x14ac:dyDescent="0.3">
      <c r="A9" s="16" t="s">
        <v>241</v>
      </c>
      <c r="B9" s="16" t="s">
        <v>242</v>
      </c>
      <c r="C9" s="16" t="s">
        <v>232</v>
      </c>
      <c r="D9" s="16" t="s">
        <v>25</v>
      </c>
      <c r="E9" s="16" t="s">
        <v>243</v>
      </c>
      <c r="F9" s="16" t="s">
        <v>206</v>
      </c>
      <c r="G9" s="16" t="s">
        <v>244</v>
      </c>
      <c r="H9" s="16" t="s">
        <v>235</v>
      </c>
      <c r="I9" s="17" t="s">
        <v>245</v>
      </c>
    </row>
    <row r="10" spans="1:9" ht="26.4" x14ac:dyDescent="0.3">
      <c r="A10" s="16" t="s">
        <v>246</v>
      </c>
      <c r="B10" s="16" t="s">
        <v>247</v>
      </c>
      <c r="C10" s="16" t="s">
        <v>212</v>
      </c>
      <c r="D10" s="16" t="s">
        <v>32</v>
      </c>
      <c r="E10" s="16" t="s">
        <v>243</v>
      </c>
      <c r="F10" s="16" t="s">
        <v>206</v>
      </c>
      <c r="G10" s="16" t="s">
        <v>248</v>
      </c>
      <c r="H10" s="16" t="s">
        <v>241</v>
      </c>
      <c r="I10" s="17" t="s">
        <v>369</v>
      </c>
    </row>
    <row r="11" spans="1:9" ht="26.4" x14ac:dyDescent="0.3">
      <c r="A11" s="16" t="s">
        <v>249</v>
      </c>
      <c r="B11" s="16" t="s">
        <v>250</v>
      </c>
      <c r="C11" s="16" t="s">
        <v>205</v>
      </c>
      <c r="D11" s="16" t="s">
        <v>25</v>
      </c>
      <c r="E11" s="16" t="s">
        <v>251</v>
      </c>
      <c r="F11" s="16" t="s">
        <v>206</v>
      </c>
      <c r="G11" s="16" t="s">
        <v>252</v>
      </c>
      <c r="H11" s="16" t="s">
        <v>203</v>
      </c>
      <c r="I11" s="17" t="s">
        <v>370</v>
      </c>
    </row>
    <row r="12" spans="1:9" ht="39.6" x14ac:dyDescent="0.3">
      <c r="A12" s="16" t="s">
        <v>253</v>
      </c>
      <c r="B12" s="16" t="s">
        <v>372</v>
      </c>
      <c r="C12" s="16" t="s">
        <v>200</v>
      </c>
      <c r="D12" s="16" t="s">
        <v>25</v>
      </c>
      <c r="E12" s="16" t="s">
        <v>39</v>
      </c>
      <c r="F12" s="16" t="s">
        <v>201</v>
      </c>
      <c r="G12" s="16" t="s">
        <v>254</v>
      </c>
      <c r="H12" s="16" t="s">
        <v>271</v>
      </c>
      <c r="I12" s="17" t="s">
        <v>255</v>
      </c>
    </row>
    <row r="13" spans="1:9" ht="26.4" x14ac:dyDescent="0.3">
      <c r="A13" s="16" t="s">
        <v>256</v>
      </c>
      <c r="B13" s="16" t="s">
        <v>257</v>
      </c>
      <c r="C13" s="16" t="s">
        <v>200</v>
      </c>
      <c r="D13" s="16" t="s">
        <v>25</v>
      </c>
      <c r="E13" s="16" t="s">
        <v>39</v>
      </c>
      <c r="F13" s="16" t="s">
        <v>206</v>
      </c>
      <c r="G13" s="16" t="s">
        <v>258</v>
      </c>
      <c r="H13" s="16" t="s">
        <v>259</v>
      </c>
      <c r="I13" s="17" t="s">
        <v>260</v>
      </c>
    </row>
    <row r="14" spans="1:9" ht="26.4" x14ac:dyDescent="0.3">
      <c r="A14" s="16" t="s">
        <v>261</v>
      </c>
      <c r="B14" s="16" t="s">
        <v>262</v>
      </c>
      <c r="C14" s="16" t="s">
        <v>232</v>
      </c>
      <c r="D14" s="16" t="s">
        <v>25</v>
      </c>
      <c r="E14" s="16" t="s">
        <v>218</v>
      </c>
      <c r="F14" s="16" t="s">
        <v>201</v>
      </c>
      <c r="G14" s="16" t="s">
        <v>263</v>
      </c>
      <c r="H14" s="16" t="s">
        <v>264</v>
      </c>
      <c r="I14" s="17" t="s">
        <v>265</v>
      </c>
    </row>
    <row r="15" spans="1:9" ht="26.4" x14ac:dyDescent="0.3">
      <c r="A15" s="16" t="s">
        <v>266</v>
      </c>
      <c r="B15" s="16" t="s">
        <v>267</v>
      </c>
      <c r="C15" s="16" t="s">
        <v>225</v>
      </c>
      <c r="D15" s="16" t="s">
        <v>25</v>
      </c>
      <c r="E15" s="16" t="s">
        <v>39</v>
      </c>
      <c r="F15" s="16" t="s">
        <v>201</v>
      </c>
      <c r="G15" s="16" t="s">
        <v>268</v>
      </c>
      <c r="H15" s="16" t="s">
        <v>269</v>
      </c>
      <c r="I15" s="17" t="s">
        <v>270</v>
      </c>
    </row>
    <row r="16" spans="1:9" ht="26.4" x14ac:dyDescent="0.3">
      <c r="A16" s="16" t="s">
        <v>271</v>
      </c>
      <c r="B16" s="16" t="s">
        <v>273</v>
      </c>
      <c r="C16" s="16" t="s">
        <v>274</v>
      </c>
      <c r="D16" s="16" t="s">
        <v>81</v>
      </c>
      <c r="E16" s="16" t="s">
        <v>367</v>
      </c>
      <c r="F16" s="16" t="s">
        <v>206</v>
      </c>
      <c r="G16" s="16" t="s">
        <v>254</v>
      </c>
      <c r="H16" s="16" t="s">
        <v>367</v>
      </c>
      <c r="I16" s="17" t="s">
        <v>275</v>
      </c>
    </row>
    <row r="17" spans="1:9" ht="26.4" x14ac:dyDescent="0.3">
      <c r="A17" s="16" t="s">
        <v>272</v>
      </c>
      <c r="B17" s="16" t="s">
        <v>277</v>
      </c>
      <c r="C17" s="16" t="s">
        <v>225</v>
      </c>
      <c r="D17" s="16" t="s">
        <v>32</v>
      </c>
      <c r="E17" s="16" t="s">
        <v>278</v>
      </c>
      <c r="F17" s="16" t="s">
        <v>201</v>
      </c>
      <c r="G17" s="16" t="s">
        <v>279</v>
      </c>
      <c r="H17" s="16" t="s">
        <v>280</v>
      </c>
      <c r="I17" s="17" t="s">
        <v>281</v>
      </c>
    </row>
    <row r="18" spans="1:9" x14ac:dyDescent="0.3">
      <c r="A18" s="16" t="s">
        <v>276</v>
      </c>
      <c r="B18" s="16" t="s">
        <v>283</v>
      </c>
      <c r="C18" s="16" t="s">
        <v>274</v>
      </c>
      <c r="D18" s="16" t="s">
        <v>32</v>
      </c>
      <c r="E18" s="16" t="s">
        <v>367</v>
      </c>
      <c r="F18" s="16" t="s">
        <v>206</v>
      </c>
      <c r="G18" s="16" t="s">
        <v>284</v>
      </c>
      <c r="H18" s="16" t="s">
        <v>367</v>
      </c>
      <c r="I18" s="17"/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39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7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7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</sheetData>
  <dataValidations count="2">
    <dataValidation type="list" allowBlank="1" sqref="C2:C207 C209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07 F209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tabSelected="1" zoomScaleNormal="100" workbookViewId="0">
      <pane ySplit="1" topLeftCell="A8" activePane="bottomLeft" state="frozen"/>
      <selection pane="bottomLeft" activeCell="D10" sqref="D10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ht="63.75" customHeight="1" x14ac:dyDescent="0.3">
      <c r="A2" s="16" t="s">
        <v>19</v>
      </c>
      <c r="B2" s="16" t="s">
        <v>373</v>
      </c>
      <c r="C2" s="16" t="s">
        <v>20</v>
      </c>
      <c r="D2" s="16" t="s">
        <v>21</v>
      </c>
      <c r="E2" s="16" t="s">
        <v>22</v>
      </c>
      <c r="F2" s="16" t="s">
        <v>23</v>
      </c>
      <c r="G2" s="16">
        <v>5</v>
      </c>
      <c r="H2" s="16">
        <v>4</v>
      </c>
      <c r="I2" s="19">
        <f t="shared" ref="I2:I65" si="0">IF(OR(G2="",H2=""),"",G2*H2)</f>
        <v>20</v>
      </c>
      <c r="J2" s="19" t="str">
        <f t="shared" ref="J2:J65" si="1">IF(I2="","",IF(I2&lt;=4,"нисък",IF(I2&lt;=9,"умерен",IF(I2&lt;=15,"висок","критичен"))))</f>
        <v>критичен</v>
      </c>
      <c r="K2" s="19" t="str">
        <f>IF(I2="","",IF(I2&lt;=Скали!$B$1,"да","не"))</f>
        <v>не</v>
      </c>
      <c r="L2" s="16" t="s">
        <v>24</v>
      </c>
      <c r="M2" s="16" t="s">
        <v>25</v>
      </c>
      <c r="N2" s="16"/>
      <c r="O2" s="16"/>
      <c r="P2" s="16">
        <v>2</v>
      </c>
      <c r="Q2" s="16">
        <v>4</v>
      </c>
      <c r="R2" s="19">
        <f t="shared" ref="R2:R65" si="2">IF(OR(P2="",Q2=""),"",P2*Q2)</f>
        <v>8</v>
      </c>
      <c r="S2" s="17"/>
    </row>
    <row r="3" spans="1:19" ht="25.5" customHeight="1" x14ac:dyDescent="0.3">
      <c r="A3" s="16" t="s">
        <v>26</v>
      </c>
      <c r="B3" s="16" t="s">
        <v>27</v>
      </c>
      <c r="C3" s="16" t="s">
        <v>28</v>
      </c>
      <c r="D3" s="16" t="s">
        <v>29</v>
      </c>
      <c r="E3" s="16" t="s">
        <v>30</v>
      </c>
      <c r="F3" s="16" t="s">
        <v>31</v>
      </c>
      <c r="G3" s="16">
        <v>3</v>
      </c>
      <c r="H3" s="16">
        <v>5</v>
      </c>
      <c r="I3" s="19">
        <f t="shared" si="0"/>
        <v>15</v>
      </c>
      <c r="J3" s="19" t="str">
        <f t="shared" si="1"/>
        <v>висок</v>
      </c>
      <c r="K3" s="19" t="str">
        <f>IF(I3="","",IF(I3&lt;=Скали!$B$1,"да","не"))</f>
        <v>не</v>
      </c>
      <c r="L3" s="16" t="s">
        <v>24</v>
      </c>
      <c r="M3" s="16" t="s">
        <v>32</v>
      </c>
      <c r="N3" s="16"/>
      <c r="O3" s="16"/>
      <c r="P3" s="16">
        <v>2</v>
      </c>
      <c r="Q3" s="16">
        <v>4</v>
      </c>
      <c r="R3" s="19">
        <f t="shared" si="2"/>
        <v>8</v>
      </c>
      <c r="S3" s="17"/>
    </row>
    <row r="4" spans="1:19" ht="79.2" x14ac:dyDescent="0.3">
      <c r="A4" s="16" t="s">
        <v>33</v>
      </c>
      <c r="B4" s="16" t="s">
        <v>34</v>
      </c>
      <c r="C4" s="16" t="s">
        <v>35</v>
      </c>
      <c r="D4" s="16" t="s">
        <v>36</v>
      </c>
      <c r="E4" s="16" t="s">
        <v>37</v>
      </c>
      <c r="F4" s="16" t="s">
        <v>38</v>
      </c>
      <c r="G4" s="16">
        <v>4</v>
      </c>
      <c r="H4" s="16">
        <v>4</v>
      </c>
      <c r="I4" s="19">
        <f t="shared" si="0"/>
        <v>16</v>
      </c>
      <c r="J4" s="19" t="str">
        <f t="shared" si="1"/>
        <v>критичен</v>
      </c>
      <c r="K4" s="19" t="str">
        <f>IF(I4="","",IF(I4&lt;=Скали!$B$1,"да","не"))</f>
        <v>не</v>
      </c>
      <c r="L4" s="16" t="s">
        <v>24</v>
      </c>
      <c r="M4" s="16" t="s">
        <v>39</v>
      </c>
      <c r="N4" s="16"/>
      <c r="O4" s="16"/>
      <c r="P4" s="16">
        <v>2</v>
      </c>
      <c r="Q4" s="16">
        <v>4</v>
      </c>
      <c r="R4" s="19">
        <f t="shared" si="2"/>
        <v>8</v>
      </c>
      <c r="S4" s="17"/>
    </row>
    <row r="5" spans="1:19" ht="52.8" x14ac:dyDescent="0.3">
      <c r="A5" s="16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>
        <v>2</v>
      </c>
      <c r="H5" s="16">
        <v>5</v>
      </c>
      <c r="I5" s="19">
        <f t="shared" si="0"/>
        <v>10</v>
      </c>
      <c r="J5" s="19" t="str">
        <f t="shared" si="1"/>
        <v>висок</v>
      </c>
      <c r="K5" s="19" t="str">
        <f>IF(I5="","",IF(I5&lt;=Скали!$B$1,"да","не"))</f>
        <v>не</v>
      </c>
      <c r="L5" s="16" t="s">
        <v>24</v>
      </c>
      <c r="M5" s="16" t="s">
        <v>32</v>
      </c>
      <c r="N5" s="16"/>
      <c r="O5" s="16"/>
      <c r="P5" s="16">
        <v>2</v>
      </c>
      <c r="Q5" s="16">
        <v>3</v>
      </c>
      <c r="R5" s="19">
        <f t="shared" si="2"/>
        <v>6</v>
      </c>
      <c r="S5" s="17"/>
    </row>
    <row r="6" spans="1:19" ht="66" x14ac:dyDescent="0.3">
      <c r="A6" s="16" t="s">
        <v>46</v>
      </c>
      <c r="B6" s="16" t="s">
        <v>47</v>
      </c>
      <c r="C6" s="16" t="s">
        <v>48</v>
      </c>
      <c r="D6" s="16" t="s">
        <v>49</v>
      </c>
      <c r="E6" s="16" t="s">
        <v>50</v>
      </c>
      <c r="F6" s="16" t="s">
        <v>51</v>
      </c>
      <c r="G6" s="16">
        <v>4</v>
      </c>
      <c r="H6" s="16">
        <v>4</v>
      </c>
      <c r="I6" s="19">
        <f t="shared" si="0"/>
        <v>16</v>
      </c>
      <c r="J6" s="19" t="str">
        <f t="shared" si="1"/>
        <v>критичен</v>
      </c>
      <c r="K6" s="19" t="str">
        <f>IF(I6="","",IF(I6&lt;=Скали!$B$1,"да","не"))</f>
        <v>не</v>
      </c>
      <c r="L6" s="16" t="s">
        <v>24</v>
      </c>
      <c r="M6" s="16" t="s">
        <v>39</v>
      </c>
      <c r="N6" s="16"/>
      <c r="O6" s="16"/>
      <c r="P6" s="16">
        <v>2</v>
      </c>
      <c r="Q6" s="16">
        <v>4</v>
      </c>
      <c r="R6" s="19">
        <f t="shared" si="2"/>
        <v>8</v>
      </c>
      <c r="S6" s="17"/>
    </row>
    <row r="7" spans="1:19" ht="52.8" x14ac:dyDescent="0.3">
      <c r="A7" s="16" t="s">
        <v>52</v>
      </c>
      <c r="B7" s="16" t="s">
        <v>53</v>
      </c>
      <c r="C7" s="16" t="s">
        <v>54</v>
      </c>
      <c r="D7" s="16" t="s">
        <v>55</v>
      </c>
      <c r="E7" s="16" t="s">
        <v>56</v>
      </c>
      <c r="F7" s="16" t="s">
        <v>57</v>
      </c>
      <c r="G7" s="16">
        <v>2</v>
      </c>
      <c r="H7" s="16">
        <v>5</v>
      </c>
      <c r="I7" s="19">
        <f t="shared" si="0"/>
        <v>10</v>
      </c>
      <c r="J7" s="19" t="str">
        <f t="shared" si="1"/>
        <v>висок</v>
      </c>
      <c r="K7" s="19" t="str">
        <f>IF(I7="","",IF(I7&lt;=Скали!$B$1,"да","не"))</f>
        <v>не</v>
      </c>
      <c r="L7" s="16" t="s">
        <v>24</v>
      </c>
      <c r="M7" s="16" t="s">
        <v>58</v>
      </c>
      <c r="N7" s="16"/>
      <c r="O7" s="16"/>
      <c r="P7" s="16">
        <v>1</v>
      </c>
      <c r="Q7" s="16">
        <v>5</v>
      </c>
      <c r="R7" s="19">
        <f t="shared" si="2"/>
        <v>5</v>
      </c>
      <c r="S7" s="17"/>
    </row>
    <row r="8" spans="1:19" ht="66" x14ac:dyDescent="0.3">
      <c r="A8" s="16" t="s">
        <v>59</v>
      </c>
      <c r="B8" s="16" t="s">
        <v>60</v>
      </c>
      <c r="C8" s="16" t="s">
        <v>61</v>
      </c>
      <c r="D8" s="16" t="s">
        <v>62</v>
      </c>
      <c r="E8" s="16" t="s">
        <v>63</v>
      </c>
      <c r="F8" s="16" t="s">
        <v>64</v>
      </c>
      <c r="G8" s="16">
        <v>3</v>
      </c>
      <c r="H8" s="16">
        <v>4</v>
      </c>
      <c r="I8" s="19">
        <f t="shared" si="0"/>
        <v>12</v>
      </c>
      <c r="J8" s="19" t="str">
        <f t="shared" si="1"/>
        <v>висок</v>
      </c>
      <c r="K8" s="19" t="str">
        <f>IF(I8="","",IF(I8&lt;=Скали!$B$1,"да","не"))</f>
        <v>не</v>
      </c>
      <c r="L8" s="16" t="s">
        <v>24</v>
      </c>
      <c r="M8" s="16" t="s">
        <v>58</v>
      </c>
      <c r="N8" s="16"/>
      <c r="O8" s="16"/>
      <c r="P8" s="16">
        <v>2</v>
      </c>
      <c r="Q8" s="16">
        <v>3</v>
      </c>
      <c r="R8" s="19">
        <f t="shared" si="2"/>
        <v>6</v>
      </c>
      <c r="S8" s="17"/>
    </row>
    <row r="9" spans="1:19" ht="66" x14ac:dyDescent="0.3">
      <c r="A9" s="16" t="s">
        <v>65</v>
      </c>
      <c r="B9" s="16" t="s">
        <v>66</v>
      </c>
      <c r="C9" s="16" t="s">
        <v>67</v>
      </c>
      <c r="D9" s="16" t="s">
        <v>375</v>
      </c>
      <c r="E9" s="16" t="s">
        <v>68</v>
      </c>
      <c r="F9" s="16" t="s">
        <v>367</v>
      </c>
      <c r="G9" s="16">
        <v>3</v>
      </c>
      <c r="H9" s="16">
        <v>4</v>
      </c>
      <c r="I9" s="19">
        <f t="shared" si="0"/>
        <v>12</v>
      </c>
      <c r="J9" s="19" t="str">
        <f t="shared" si="1"/>
        <v>висок</v>
      </c>
      <c r="K9" s="19" t="str">
        <f>IF(I9="","",IF(I9&lt;=Скали!$B$1,"да","не"))</f>
        <v>не</v>
      </c>
      <c r="L9" s="16" t="s">
        <v>24</v>
      </c>
      <c r="M9" s="16" t="s">
        <v>39</v>
      </c>
      <c r="N9" s="16"/>
      <c r="O9" s="16"/>
      <c r="P9" s="16">
        <v>1</v>
      </c>
      <c r="Q9" s="16">
        <v>4</v>
      </c>
      <c r="R9" s="19">
        <f t="shared" si="2"/>
        <v>4</v>
      </c>
      <c r="S9" s="17"/>
    </row>
    <row r="10" spans="1:19" ht="52.8" x14ac:dyDescent="0.3">
      <c r="A10" s="16" t="s">
        <v>70</v>
      </c>
      <c r="B10" s="16" t="s">
        <v>71</v>
      </c>
      <c r="C10" s="16" t="s">
        <v>72</v>
      </c>
      <c r="D10" s="16" t="s">
        <v>73</v>
      </c>
      <c r="E10" s="16" t="s">
        <v>74</v>
      </c>
      <c r="F10" s="16" t="s">
        <v>75</v>
      </c>
      <c r="G10" s="16">
        <v>2</v>
      </c>
      <c r="H10" s="16">
        <v>5</v>
      </c>
      <c r="I10" s="19">
        <f t="shared" si="0"/>
        <v>10</v>
      </c>
      <c r="J10" s="19" t="str">
        <f t="shared" si="1"/>
        <v>висок</v>
      </c>
      <c r="K10" s="19" t="str">
        <f>IF(I10="","",IF(I10&lt;=Скали!$B$1,"да","не"))</f>
        <v>не</v>
      </c>
      <c r="L10" s="16" t="s">
        <v>24</v>
      </c>
      <c r="M10" s="16" t="s">
        <v>25</v>
      </c>
      <c r="N10" s="16"/>
      <c r="O10" s="16"/>
      <c r="P10" s="16">
        <v>2</v>
      </c>
      <c r="Q10" s="16">
        <v>2</v>
      </c>
      <c r="R10" s="19">
        <f t="shared" si="2"/>
        <v>4</v>
      </c>
      <c r="S10" s="17"/>
    </row>
    <row r="11" spans="1:19" ht="52.8" x14ac:dyDescent="0.3">
      <c r="A11" s="16" t="s">
        <v>76</v>
      </c>
      <c r="B11" s="16" t="s">
        <v>41</v>
      </c>
      <c r="C11" s="16" t="s">
        <v>77</v>
      </c>
      <c r="D11" s="16" t="s">
        <v>78</v>
      </c>
      <c r="E11" s="16" t="s">
        <v>79</v>
      </c>
      <c r="F11" s="16" t="s">
        <v>367</v>
      </c>
      <c r="G11" s="16">
        <v>4</v>
      </c>
      <c r="H11" s="16">
        <v>3</v>
      </c>
      <c r="I11" s="19">
        <f t="shared" si="0"/>
        <v>12</v>
      </c>
      <c r="J11" s="19" t="str">
        <f t="shared" si="1"/>
        <v>висок</v>
      </c>
      <c r="K11" s="19" t="str">
        <f>IF(I11="","",IF(I11&lt;=Скали!$B$1,"да","не"))</f>
        <v>не</v>
      </c>
      <c r="L11" s="16" t="s">
        <v>80</v>
      </c>
      <c r="M11" s="16" t="s">
        <v>81</v>
      </c>
      <c r="N11" s="16"/>
      <c r="O11" s="16"/>
      <c r="P11" s="16">
        <v>3</v>
      </c>
      <c r="Q11" s="16">
        <v>2</v>
      </c>
      <c r="R11" s="19">
        <f t="shared" si="2"/>
        <v>6</v>
      </c>
      <c r="S11" s="17"/>
    </row>
    <row r="12" spans="1:19" ht="52.8" x14ac:dyDescent="0.3">
      <c r="A12" s="16" t="s">
        <v>82</v>
      </c>
      <c r="B12" s="16" t="s">
        <v>83</v>
      </c>
      <c r="C12" s="16" t="s">
        <v>84</v>
      </c>
      <c r="D12" s="16" t="s">
        <v>85</v>
      </c>
      <c r="E12" s="16" t="s">
        <v>86</v>
      </c>
      <c r="F12" s="16" t="s">
        <v>87</v>
      </c>
      <c r="G12" s="16">
        <v>3</v>
      </c>
      <c r="H12" s="16">
        <v>3</v>
      </c>
      <c r="I12" s="19">
        <f t="shared" si="0"/>
        <v>9</v>
      </c>
      <c r="J12" s="19" t="str">
        <f t="shared" si="1"/>
        <v>умерен</v>
      </c>
      <c r="K12" s="19" t="str">
        <f>IF(I12="","",IF(I12&lt;=Скали!$B$1,"да","не"))</f>
        <v>да</v>
      </c>
      <c r="L12" s="16" t="s">
        <v>88</v>
      </c>
      <c r="M12" s="16" t="s">
        <v>25</v>
      </c>
      <c r="N12" s="16"/>
      <c r="O12" s="16"/>
      <c r="P12" s="16">
        <v>3</v>
      </c>
      <c r="Q12" s="16">
        <v>3</v>
      </c>
      <c r="R12" s="19">
        <f t="shared" si="2"/>
        <v>9</v>
      </c>
      <c r="S12" s="17"/>
    </row>
    <row r="13" spans="1:19" ht="52.8" x14ac:dyDescent="0.3">
      <c r="A13" s="16" t="s">
        <v>89</v>
      </c>
      <c r="B13" s="16" t="s">
        <v>374</v>
      </c>
      <c r="C13" s="16" t="s">
        <v>90</v>
      </c>
      <c r="D13" s="16" t="s">
        <v>91</v>
      </c>
      <c r="E13" s="16" t="s">
        <v>92</v>
      </c>
      <c r="F13" s="16" t="s">
        <v>367</v>
      </c>
      <c r="G13" s="16">
        <v>3</v>
      </c>
      <c r="H13" s="16">
        <v>4</v>
      </c>
      <c r="I13" s="19">
        <f t="shared" si="0"/>
        <v>12</v>
      </c>
      <c r="J13" s="19" t="str">
        <f t="shared" si="1"/>
        <v>висок</v>
      </c>
      <c r="K13" s="19" t="str">
        <f>IF(I13="","",IF(I13&lt;=Скали!$B$1,"да","не"))</f>
        <v>не</v>
      </c>
      <c r="L13" s="16" t="s">
        <v>24</v>
      </c>
      <c r="M13" s="16" t="s">
        <v>32</v>
      </c>
      <c r="N13" s="16"/>
      <c r="O13" s="16"/>
      <c r="P13" s="16">
        <v>1</v>
      </c>
      <c r="Q13" s="16">
        <v>4</v>
      </c>
      <c r="R13" s="19">
        <f t="shared" si="2"/>
        <v>4</v>
      </c>
      <c r="S13" s="17"/>
    </row>
    <row r="14" spans="1:19" ht="66" x14ac:dyDescent="0.3">
      <c r="A14" s="16" t="s">
        <v>93</v>
      </c>
      <c r="B14" s="16" t="s">
        <v>94</v>
      </c>
      <c r="C14" s="16" t="s">
        <v>95</v>
      </c>
      <c r="D14" s="16" t="s">
        <v>96</v>
      </c>
      <c r="E14" s="16" t="s">
        <v>97</v>
      </c>
      <c r="F14" s="16" t="s">
        <v>98</v>
      </c>
      <c r="G14" s="16">
        <v>2</v>
      </c>
      <c r="H14" s="16">
        <v>4</v>
      </c>
      <c r="I14" s="19">
        <f t="shared" si="0"/>
        <v>8</v>
      </c>
      <c r="J14" s="19" t="str">
        <f t="shared" si="1"/>
        <v>умерен</v>
      </c>
      <c r="K14" s="19" t="str">
        <f>IF(I14="","",IF(I14&lt;=Скали!$B$1,"да","не"))</f>
        <v>да</v>
      </c>
      <c r="L14" s="16" t="s">
        <v>88</v>
      </c>
      <c r="M14" s="16" t="s">
        <v>25</v>
      </c>
      <c r="N14" s="16"/>
      <c r="O14" s="16"/>
      <c r="P14" s="16">
        <v>2</v>
      </c>
      <c r="Q14" s="16">
        <v>4</v>
      </c>
      <c r="R14" s="19">
        <f t="shared" si="2"/>
        <v>8</v>
      </c>
      <c r="S14" s="17"/>
    </row>
    <row r="15" spans="1:19" ht="52.8" x14ac:dyDescent="0.3">
      <c r="A15" s="16" t="s">
        <v>99</v>
      </c>
      <c r="B15" s="16" t="s">
        <v>66</v>
      </c>
      <c r="C15" s="16" t="s">
        <v>100</v>
      </c>
      <c r="D15" s="16" t="s">
        <v>101</v>
      </c>
      <c r="E15" s="16" t="s">
        <v>102</v>
      </c>
      <c r="F15" s="16" t="s">
        <v>367</v>
      </c>
      <c r="G15" s="16">
        <v>2</v>
      </c>
      <c r="H15" s="16">
        <v>4</v>
      </c>
      <c r="I15" s="19">
        <f t="shared" si="0"/>
        <v>8</v>
      </c>
      <c r="J15" s="19" t="str">
        <f t="shared" si="1"/>
        <v>умерен</v>
      </c>
      <c r="K15" s="19" t="str">
        <f>IF(I15="","",IF(I15&lt;=Скали!$B$1,"да","не"))</f>
        <v>да</v>
      </c>
      <c r="L15" s="16" t="s">
        <v>88</v>
      </c>
      <c r="M15" s="16" t="s">
        <v>25</v>
      </c>
      <c r="N15" s="16"/>
      <c r="O15" s="16"/>
      <c r="P15" s="16">
        <v>2</v>
      </c>
      <c r="Q15" s="16">
        <v>4</v>
      </c>
      <c r="R15" s="19">
        <f t="shared" si="2"/>
        <v>8</v>
      </c>
      <c r="S15" s="17"/>
    </row>
    <row r="16" spans="1:19" x14ac:dyDescent="0.3">
      <c r="A16" s="16"/>
      <c r="B16" s="16"/>
      <c r="C16" s="16"/>
      <c r="D16" s="16"/>
      <c r="E16" s="16"/>
      <c r="F16" s="16"/>
      <c r="G16" s="16"/>
      <c r="H16" s="16"/>
      <c r="I16" s="19"/>
      <c r="J16" s="19"/>
      <c r="K16" s="19"/>
      <c r="L16" s="16"/>
      <c r="M16" s="16"/>
      <c r="N16" s="16"/>
      <c r="O16" s="16"/>
      <c r="P16" s="16"/>
      <c r="Q16" s="16"/>
      <c r="R16" s="19"/>
      <c r="S16" s="17"/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9"/>
      <c r="J17" s="19"/>
      <c r="K17" s="19"/>
      <c r="L17" s="16"/>
      <c r="M17" s="16"/>
      <c r="N17" s="16"/>
      <c r="O17" s="16"/>
      <c r="P17" s="16"/>
      <c r="Q17" s="16"/>
      <c r="R17" s="19"/>
      <c r="S17" s="17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8" t="str">
        <f t="shared" si="0"/>
        <v/>
      </c>
      <c r="J18" s="18" t="str">
        <f t="shared" si="1"/>
        <v/>
      </c>
      <c r="K18" s="18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8" t="str">
        <f t="shared" si="0"/>
        <v/>
      </c>
      <c r="J19" s="18" t="str">
        <f t="shared" si="1"/>
        <v/>
      </c>
      <c r="K19" s="18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8" t="str">
        <f t="shared" si="0"/>
        <v/>
      </c>
      <c r="J20" s="18" t="str">
        <f t="shared" si="1"/>
        <v/>
      </c>
      <c r="K20" s="18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8" t="str">
        <f t="shared" si="0"/>
        <v/>
      </c>
      <c r="J21" s="18" t="str">
        <f t="shared" si="1"/>
        <v/>
      </c>
      <c r="K21" s="18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8" t="str">
        <f t="shared" si="0"/>
        <v/>
      </c>
      <c r="J22" s="18" t="str">
        <f t="shared" si="1"/>
        <v/>
      </c>
      <c r="K22" s="18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8" t="str">
        <f t="shared" si="0"/>
        <v/>
      </c>
      <c r="J23" s="18" t="str">
        <f t="shared" si="1"/>
        <v/>
      </c>
      <c r="K23" s="18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8" t="str">
        <f t="shared" si="0"/>
        <v/>
      </c>
      <c r="J24" s="18" t="str">
        <f t="shared" si="1"/>
        <v/>
      </c>
      <c r="K24" s="18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8" t="str">
        <f t="shared" si="0"/>
        <v/>
      </c>
      <c r="J25" s="18" t="str">
        <f t="shared" si="1"/>
        <v/>
      </c>
      <c r="K25" s="18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8" t="str">
        <f t="shared" si="0"/>
        <v/>
      </c>
      <c r="J26" s="18" t="str">
        <f t="shared" si="1"/>
        <v/>
      </c>
      <c r="K26" s="18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8" t="str">
        <f t="shared" si="0"/>
        <v/>
      </c>
      <c r="J27" s="18" t="str">
        <f t="shared" si="1"/>
        <v/>
      </c>
      <c r="K27" s="18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8" t="str">
        <f t="shared" si="0"/>
        <v/>
      </c>
      <c r="J28" s="18" t="str">
        <f t="shared" si="1"/>
        <v/>
      </c>
      <c r="K28" s="18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8" t="str">
        <f t="shared" si="0"/>
        <v/>
      </c>
      <c r="J29" s="18" t="str">
        <f t="shared" si="1"/>
        <v/>
      </c>
      <c r="K29" s="18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8" t="str">
        <f t="shared" si="0"/>
        <v/>
      </c>
      <c r="J30" s="18" t="str">
        <f t="shared" si="1"/>
        <v/>
      </c>
      <c r="K30" s="18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8" t="str">
        <f t="shared" si="0"/>
        <v/>
      </c>
      <c r="J31" s="18" t="str">
        <f t="shared" si="1"/>
        <v/>
      </c>
      <c r="K31" s="18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8" t="str">
        <f t="shared" si="0"/>
        <v/>
      </c>
      <c r="J32" s="18" t="str">
        <f t="shared" si="1"/>
        <v/>
      </c>
      <c r="K32" s="18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8" t="str">
        <f t="shared" si="0"/>
        <v/>
      </c>
      <c r="J33" s="18" t="str">
        <f t="shared" si="1"/>
        <v/>
      </c>
      <c r="K33" s="18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8" t="str">
        <f t="shared" si="0"/>
        <v/>
      </c>
      <c r="J34" s="18" t="str">
        <f t="shared" si="1"/>
        <v/>
      </c>
      <c r="K34" s="18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8" t="str">
        <f t="shared" si="0"/>
        <v/>
      </c>
      <c r="J35" s="18" t="str">
        <f t="shared" si="1"/>
        <v/>
      </c>
      <c r="K35" s="18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8" t="str">
        <f t="shared" si="0"/>
        <v/>
      </c>
      <c r="J36" s="18" t="str">
        <f t="shared" si="1"/>
        <v/>
      </c>
      <c r="K36" s="18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8" t="str">
        <f t="shared" si="0"/>
        <v/>
      </c>
      <c r="J37" s="18" t="str">
        <f t="shared" si="1"/>
        <v/>
      </c>
      <c r="K37" s="18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8" t="str">
        <f t="shared" si="0"/>
        <v/>
      </c>
      <c r="J38" s="18" t="str">
        <f t="shared" si="1"/>
        <v/>
      </c>
      <c r="K38" s="18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8" t="str">
        <f t="shared" si="0"/>
        <v/>
      </c>
      <c r="J39" s="18" t="str">
        <f t="shared" si="1"/>
        <v/>
      </c>
      <c r="K39" s="18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8" t="str">
        <f t="shared" si="0"/>
        <v/>
      </c>
      <c r="J40" s="18" t="str">
        <f t="shared" si="1"/>
        <v/>
      </c>
      <c r="K40" s="18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8" t="str">
        <f t="shared" si="0"/>
        <v/>
      </c>
      <c r="J41" s="18" t="str">
        <f t="shared" si="1"/>
        <v/>
      </c>
      <c r="K41" s="18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8" t="str">
        <f t="shared" si="0"/>
        <v/>
      </c>
      <c r="J42" s="18" t="str">
        <f t="shared" si="1"/>
        <v/>
      </c>
      <c r="K42" s="18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8" t="str">
        <f t="shared" si="0"/>
        <v/>
      </c>
      <c r="J43" s="18" t="str">
        <f t="shared" si="1"/>
        <v/>
      </c>
      <c r="K43" s="18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8" t="str">
        <f t="shared" si="0"/>
        <v/>
      </c>
      <c r="J44" s="18" t="str">
        <f t="shared" si="1"/>
        <v/>
      </c>
      <c r="K44" s="18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8" t="str">
        <f t="shared" si="0"/>
        <v/>
      </c>
      <c r="J45" s="18" t="str">
        <f t="shared" si="1"/>
        <v/>
      </c>
      <c r="K45" s="18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8" t="str">
        <f t="shared" si="0"/>
        <v/>
      </c>
      <c r="J46" s="18" t="str">
        <f t="shared" si="1"/>
        <v/>
      </c>
      <c r="K46" s="18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8" t="str">
        <f t="shared" si="0"/>
        <v/>
      </c>
      <c r="J47" s="18" t="str">
        <f t="shared" si="1"/>
        <v/>
      </c>
      <c r="K47" s="18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8" t="str">
        <f t="shared" si="0"/>
        <v/>
      </c>
      <c r="J48" s="18" t="str">
        <f t="shared" si="1"/>
        <v/>
      </c>
      <c r="K48" s="18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8" t="str">
        <f t="shared" si="0"/>
        <v/>
      </c>
      <c r="J49" s="18" t="str">
        <f t="shared" si="1"/>
        <v/>
      </c>
      <c r="K49" s="18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8" t="str">
        <f t="shared" si="0"/>
        <v/>
      </c>
      <c r="J50" s="18" t="str">
        <f t="shared" si="1"/>
        <v/>
      </c>
      <c r="K50" s="18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8" t="str">
        <f t="shared" si="0"/>
        <v/>
      </c>
      <c r="J51" s="18" t="str">
        <f t="shared" si="1"/>
        <v/>
      </c>
      <c r="K51" s="18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8" t="str">
        <f t="shared" si="0"/>
        <v/>
      </c>
      <c r="J52" s="18" t="str">
        <f t="shared" si="1"/>
        <v/>
      </c>
      <c r="K52" s="18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8" t="str">
        <f t="shared" si="0"/>
        <v/>
      </c>
      <c r="J53" s="18" t="str">
        <f t="shared" si="1"/>
        <v/>
      </c>
      <c r="K53" s="18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8" t="str">
        <f t="shared" si="0"/>
        <v/>
      </c>
      <c r="J54" s="18" t="str">
        <f t="shared" si="1"/>
        <v/>
      </c>
      <c r="K54" s="18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8" t="str">
        <f t="shared" si="0"/>
        <v/>
      </c>
      <c r="J55" s="18" t="str">
        <f t="shared" si="1"/>
        <v/>
      </c>
      <c r="K55" s="18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8" t="str">
        <f t="shared" si="0"/>
        <v/>
      </c>
      <c r="J56" s="18" t="str">
        <f t="shared" si="1"/>
        <v/>
      </c>
      <c r="K56" s="18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8" t="str">
        <f t="shared" si="0"/>
        <v/>
      </c>
      <c r="J57" s="18" t="str">
        <f t="shared" si="1"/>
        <v/>
      </c>
      <c r="K57" s="18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8" t="str">
        <f t="shared" si="0"/>
        <v/>
      </c>
      <c r="J58" s="18" t="str">
        <f t="shared" si="1"/>
        <v/>
      </c>
      <c r="K58" s="18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8" t="str">
        <f t="shared" si="0"/>
        <v/>
      </c>
      <c r="J59" s="18" t="str">
        <f t="shared" si="1"/>
        <v/>
      </c>
      <c r="K59" s="18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8" t="str">
        <f t="shared" si="0"/>
        <v/>
      </c>
      <c r="J60" s="18" t="str">
        <f t="shared" si="1"/>
        <v/>
      </c>
      <c r="K60" s="18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8" t="str">
        <f t="shared" si="0"/>
        <v/>
      </c>
      <c r="J61" s="18" t="str">
        <f t="shared" si="1"/>
        <v/>
      </c>
      <c r="K61" s="18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8" t="str">
        <f t="shared" si="0"/>
        <v/>
      </c>
      <c r="J62" s="18" t="str">
        <f t="shared" si="1"/>
        <v/>
      </c>
      <c r="K62" s="18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8" t="str">
        <f t="shared" si="0"/>
        <v/>
      </c>
      <c r="J63" s="18" t="str">
        <f t="shared" si="1"/>
        <v/>
      </c>
      <c r="K63" s="18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8" t="str">
        <f t="shared" si="0"/>
        <v/>
      </c>
      <c r="J64" s="18" t="str">
        <f t="shared" si="1"/>
        <v/>
      </c>
      <c r="K64" s="18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8" t="str">
        <f t="shared" si="0"/>
        <v/>
      </c>
      <c r="J65" s="18" t="str">
        <f t="shared" si="1"/>
        <v/>
      </c>
      <c r="K65" s="18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3">IF(OR(G66="",H66=""),"",G66*H66)</f>
        <v/>
      </c>
      <c r="J66" s="18" t="str">
        <f t="shared" ref="J66:J129" si="4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5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8" t="str">
        <f t="shared" si="3"/>
        <v/>
      </c>
      <c r="J67" s="18" t="str">
        <f t="shared" si="4"/>
        <v/>
      </c>
      <c r="K67" s="18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5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8" t="str">
        <f t="shared" si="3"/>
        <v/>
      </c>
      <c r="J68" s="18" t="str">
        <f t="shared" si="4"/>
        <v/>
      </c>
      <c r="K68" s="18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5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8" t="str">
        <f t="shared" si="3"/>
        <v/>
      </c>
      <c r="J69" s="18" t="str">
        <f t="shared" si="4"/>
        <v/>
      </c>
      <c r="K69" s="18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5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8" t="str">
        <f t="shared" si="3"/>
        <v/>
      </c>
      <c r="J70" s="18" t="str">
        <f t="shared" si="4"/>
        <v/>
      </c>
      <c r="K70" s="18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5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8" t="str">
        <f t="shared" si="3"/>
        <v/>
      </c>
      <c r="J71" s="18" t="str">
        <f t="shared" si="4"/>
        <v/>
      </c>
      <c r="K71" s="18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5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8" t="str">
        <f t="shared" si="3"/>
        <v/>
      </c>
      <c r="J72" s="18" t="str">
        <f t="shared" si="4"/>
        <v/>
      </c>
      <c r="K72" s="18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5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8" t="str">
        <f t="shared" si="3"/>
        <v/>
      </c>
      <c r="J73" s="18" t="str">
        <f t="shared" si="4"/>
        <v/>
      </c>
      <c r="K73" s="18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5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8" t="str">
        <f t="shared" si="3"/>
        <v/>
      </c>
      <c r="J74" s="18" t="str">
        <f t="shared" si="4"/>
        <v/>
      </c>
      <c r="K74" s="18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5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8" t="str">
        <f t="shared" si="3"/>
        <v/>
      </c>
      <c r="J75" s="18" t="str">
        <f t="shared" si="4"/>
        <v/>
      </c>
      <c r="K75" s="18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5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8" t="str">
        <f t="shared" si="3"/>
        <v/>
      </c>
      <c r="J76" s="18" t="str">
        <f t="shared" si="4"/>
        <v/>
      </c>
      <c r="K76" s="18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5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8" t="str">
        <f t="shared" si="3"/>
        <v/>
      </c>
      <c r="J77" s="18" t="str">
        <f t="shared" si="4"/>
        <v/>
      </c>
      <c r="K77" s="18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5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8" t="str">
        <f t="shared" si="3"/>
        <v/>
      </c>
      <c r="J78" s="18" t="str">
        <f t="shared" si="4"/>
        <v/>
      </c>
      <c r="K78" s="18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5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8" t="str">
        <f t="shared" si="3"/>
        <v/>
      </c>
      <c r="J79" s="18" t="str">
        <f t="shared" si="4"/>
        <v/>
      </c>
      <c r="K79" s="18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5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8" t="str">
        <f t="shared" si="3"/>
        <v/>
      </c>
      <c r="J80" s="18" t="str">
        <f t="shared" si="4"/>
        <v/>
      </c>
      <c r="K80" s="18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5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8" t="str">
        <f t="shared" si="3"/>
        <v/>
      </c>
      <c r="J81" s="18" t="str">
        <f t="shared" si="4"/>
        <v/>
      </c>
      <c r="K81" s="18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5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8" t="str">
        <f t="shared" si="3"/>
        <v/>
      </c>
      <c r="J82" s="18" t="str">
        <f t="shared" si="4"/>
        <v/>
      </c>
      <c r="K82" s="18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5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8" t="str">
        <f t="shared" si="3"/>
        <v/>
      </c>
      <c r="J83" s="18" t="str">
        <f t="shared" si="4"/>
        <v/>
      </c>
      <c r="K83" s="18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5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8" t="str">
        <f t="shared" si="3"/>
        <v/>
      </c>
      <c r="J84" s="18" t="str">
        <f t="shared" si="4"/>
        <v/>
      </c>
      <c r="K84" s="18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5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8" t="str">
        <f t="shared" si="3"/>
        <v/>
      </c>
      <c r="J85" s="18" t="str">
        <f t="shared" si="4"/>
        <v/>
      </c>
      <c r="K85" s="18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5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8" t="str">
        <f t="shared" si="3"/>
        <v/>
      </c>
      <c r="J86" s="18" t="str">
        <f t="shared" si="4"/>
        <v/>
      </c>
      <c r="K86" s="18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5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8" t="str">
        <f t="shared" si="3"/>
        <v/>
      </c>
      <c r="J87" s="18" t="str">
        <f t="shared" si="4"/>
        <v/>
      </c>
      <c r="K87" s="18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5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8" t="str">
        <f t="shared" si="3"/>
        <v/>
      </c>
      <c r="J88" s="18" t="str">
        <f t="shared" si="4"/>
        <v/>
      </c>
      <c r="K88" s="18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5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8" t="str">
        <f t="shared" si="3"/>
        <v/>
      </c>
      <c r="J89" s="18" t="str">
        <f t="shared" si="4"/>
        <v/>
      </c>
      <c r="K89" s="18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5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8" t="str">
        <f t="shared" si="3"/>
        <v/>
      </c>
      <c r="J90" s="18" t="str">
        <f t="shared" si="4"/>
        <v/>
      </c>
      <c r="K90" s="18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5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8" t="str">
        <f t="shared" si="3"/>
        <v/>
      </c>
      <c r="J91" s="18" t="str">
        <f t="shared" si="4"/>
        <v/>
      </c>
      <c r="K91" s="18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5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8" t="str">
        <f t="shared" si="3"/>
        <v/>
      </c>
      <c r="J92" s="18" t="str">
        <f t="shared" si="4"/>
        <v/>
      </c>
      <c r="K92" s="18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5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8" t="str">
        <f t="shared" si="3"/>
        <v/>
      </c>
      <c r="J93" s="18" t="str">
        <f t="shared" si="4"/>
        <v/>
      </c>
      <c r="K93" s="18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5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8" t="str">
        <f t="shared" si="3"/>
        <v/>
      </c>
      <c r="J94" s="18" t="str">
        <f t="shared" si="4"/>
        <v/>
      </c>
      <c r="K94" s="18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5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8" t="str">
        <f t="shared" si="3"/>
        <v/>
      </c>
      <c r="J95" s="18" t="str">
        <f t="shared" si="4"/>
        <v/>
      </c>
      <c r="K95" s="18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5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8" t="str">
        <f t="shared" si="3"/>
        <v/>
      </c>
      <c r="J96" s="18" t="str">
        <f t="shared" si="4"/>
        <v/>
      </c>
      <c r="K96" s="18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5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8" t="str">
        <f t="shared" si="3"/>
        <v/>
      </c>
      <c r="J97" s="18" t="str">
        <f t="shared" si="4"/>
        <v/>
      </c>
      <c r="K97" s="18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5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8" t="str">
        <f t="shared" si="3"/>
        <v/>
      </c>
      <c r="J98" s="18" t="str">
        <f t="shared" si="4"/>
        <v/>
      </c>
      <c r="K98" s="18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5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8" t="str">
        <f t="shared" si="3"/>
        <v/>
      </c>
      <c r="J99" s="18" t="str">
        <f t="shared" si="4"/>
        <v/>
      </c>
      <c r="K99" s="18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5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8" t="str">
        <f t="shared" si="3"/>
        <v/>
      </c>
      <c r="J100" s="18" t="str">
        <f t="shared" si="4"/>
        <v/>
      </c>
      <c r="K100" s="18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5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8" t="str">
        <f t="shared" si="3"/>
        <v/>
      </c>
      <c r="J101" s="18" t="str">
        <f t="shared" si="4"/>
        <v/>
      </c>
      <c r="K101" s="18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5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8" t="str">
        <f t="shared" si="3"/>
        <v/>
      </c>
      <c r="J102" s="18" t="str">
        <f t="shared" si="4"/>
        <v/>
      </c>
      <c r="K102" s="18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5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8" t="str">
        <f t="shared" si="3"/>
        <v/>
      </c>
      <c r="J103" s="18" t="str">
        <f t="shared" si="4"/>
        <v/>
      </c>
      <c r="K103" s="18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5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8" t="str">
        <f t="shared" si="3"/>
        <v/>
      </c>
      <c r="J104" s="18" t="str">
        <f t="shared" si="4"/>
        <v/>
      </c>
      <c r="K104" s="18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5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8" t="str">
        <f t="shared" si="3"/>
        <v/>
      </c>
      <c r="J105" s="18" t="str">
        <f t="shared" si="4"/>
        <v/>
      </c>
      <c r="K105" s="18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5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8" t="str">
        <f t="shared" si="3"/>
        <v/>
      </c>
      <c r="J106" s="18" t="str">
        <f t="shared" si="4"/>
        <v/>
      </c>
      <c r="K106" s="18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5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8" t="str">
        <f t="shared" si="3"/>
        <v/>
      </c>
      <c r="J107" s="18" t="str">
        <f t="shared" si="4"/>
        <v/>
      </c>
      <c r="K107" s="18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5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8" t="str">
        <f t="shared" si="3"/>
        <v/>
      </c>
      <c r="J108" s="18" t="str">
        <f t="shared" si="4"/>
        <v/>
      </c>
      <c r="K108" s="18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5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8" t="str">
        <f t="shared" si="3"/>
        <v/>
      </c>
      <c r="J109" s="18" t="str">
        <f t="shared" si="4"/>
        <v/>
      </c>
      <c r="K109" s="18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5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8" t="str">
        <f t="shared" si="3"/>
        <v/>
      </c>
      <c r="J110" s="18" t="str">
        <f t="shared" si="4"/>
        <v/>
      </c>
      <c r="K110" s="18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5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8" t="str">
        <f t="shared" si="3"/>
        <v/>
      </c>
      <c r="J111" s="18" t="str">
        <f t="shared" si="4"/>
        <v/>
      </c>
      <c r="K111" s="18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5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8" t="str">
        <f t="shared" si="3"/>
        <v/>
      </c>
      <c r="J112" s="18" t="str">
        <f t="shared" si="4"/>
        <v/>
      </c>
      <c r="K112" s="18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5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8" t="str">
        <f t="shared" si="3"/>
        <v/>
      </c>
      <c r="J113" s="18" t="str">
        <f t="shared" si="4"/>
        <v/>
      </c>
      <c r="K113" s="18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5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8" t="str">
        <f t="shared" si="3"/>
        <v/>
      </c>
      <c r="J114" s="18" t="str">
        <f t="shared" si="4"/>
        <v/>
      </c>
      <c r="K114" s="18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5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8" t="str">
        <f t="shared" si="3"/>
        <v/>
      </c>
      <c r="J115" s="18" t="str">
        <f t="shared" si="4"/>
        <v/>
      </c>
      <c r="K115" s="18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5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8" t="str">
        <f t="shared" si="3"/>
        <v/>
      </c>
      <c r="J116" s="18" t="str">
        <f t="shared" si="4"/>
        <v/>
      </c>
      <c r="K116" s="18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5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8" t="str">
        <f t="shared" si="3"/>
        <v/>
      </c>
      <c r="J117" s="18" t="str">
        <f t="shared" si="4"/>
        <v/>
      </c>
      <c r="K117" s="18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5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8" t="str">
        <f t="shared" si="3"/>
        <v/>
      </c>
      <c r="J118" s="18" t="str">
        <f t="shared" si="4"/>
        <v/>
      </c>
      <c r="K118" s="18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5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8" t="str">
        <f t="shared" si="3"/>
        <v/>
      </c>
      <c r="J119" s="18" t="str">
        <f t="shared" si="4"/>
        <v/>
      </c>
      <c r="K119" s="18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5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8" t="str">
        <f t="shared" si="3"/>
        <v/>
      </c>
      <c r="J120" s="18" t="str">
        <f t="shared" si="4"/>
        <v/>
      </c>
      <c r="K120" s="18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5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8" t="str">
        <f t="shared" si="3"/>
        <v/>
      </c>
      <c r="J121" s="18" t="str">
        <f t="shared" si="4"/>
        <v/>
      </c>
      <c r="K121" s="18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5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8" t="str">
        <f t="shared" si="3"/>
        <v/>
      </c>
      <c r="J122" s="18" t="str">
        <f t="shared" si="4"/>
        <v/>
      </c>
      <c r="K122" s="18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5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8" t="str">
        <f t="shared" si="3"/>
        <v/>
      </c>
      <c r="J123" s="18" t="str">
        <f t="shared" si="4"/>
        <v/>
      </c>
      <c r="K123" s="18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5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8" t="str">
        <f t="shared" si="3"/>
        <v/>
      </c>
      <c r="J124" s="18" t="str">
        <f t="shared" si="4"/>
        <v/>
      </c>
      <c r="K124" s="18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5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8" t="str">
        <f t="shared" si="3"/>
        <v/>
      </c>
      <c r="J125" s="18" t="str">
        <f t="shared" si="4"/>
        <v/>
      </c>
      <c r="K125" s="18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5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8" t="str">
        <f t="shared" si="3"/>
        <v/>
      </c>
      <c r="J126" s="18" t="str">
        <f t="shared" si="4"/>
        <v/>
      </c>
      <c r="K126" s="18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5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8" t="str">
        <f t="shared" si="3"/>
        <v/>
      </c>
      <c r="J127" s="18" t="str">
        <f t="shared" si="4"/>
        <v/>
      </c>
      <c r="K127" s="18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5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8" t="str">
        <f t="shared" si="3"/>
        <v/>
      </c>
      <c r="J128" s="18" t="str">
        <f t="shared" si="4"/>
        <v/>
      </c>
      <c r="K128" s="18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5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8" t="str">
        <f t="shared" si="3"/>
        <v/>
      </c>
      <c r="J129" s="18" t="str">
        <f t="shared" si="4"/>
        <v/>
      </c>
      <c r="K129" s="18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5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6">IF(OR(G130="",H130=""),"",G130*H130)</f>
        <v/>
      </c>
      <c r="J130" s="18" t="str">
        <f t="shared" ref="J130:J193" si="7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8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8" t="str">
        <f t="shared" si="6"/>
        <v/>
      </c>
      <c r="J131" s="18" t="str">
        <f t="shared" si="7"/>
        <v/>
      </c>
      <c r="K131" s="18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8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8" t="str">
        <f t="shared" si="6"/>
        <v/>
      </c>
      <c r="J132" s="18" t="str">
        <f t="shared" si="7"/>
        <v/>
      </c>
      <c r="K132" s="18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8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8" t="str">
        <f t="shared" si="6"/>
        <v/>
      </c>
      <c r="J133" s="18" t="str">
        <f t="shared" si="7"/>
        <v/>
      </c>
      <c r="K133" s="18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8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8" t="str">
        <f t="shared" si="6"/>
        <v/>
      </c>
      <c r="J134" s="18" t="str">
        <f t="shared" si="7"/>
        <v/>
      </c>
      <c r="K134" s="18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8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8" t="str">
        <f t="shared" si="6"/>
        <v/>
      </c>
      <c r="J135" s="18" t="str">
        <f t="shared" si="7"/>
        <v/>
      </c>
      <c r="K135" s="18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8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8" t="str">
        <f t="shared" si="6"/>
        <v/>
      </c>
      <c r="J136" s="18" t="str">
        <f t="shared" si="7"/>
        <v/>
      </c>
      <c r="K136" s="18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8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8" t="str">
        <f t="shared" si="6"/>
        <v/>
      </c>
      <c r="J137" s="18" t="str">
        <f t="shared" si="7"/>
        <v/>
      </c>
      <c r="K137" s="18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8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8" t="str">
        <f t="shared" si="6"/>
        <v/>
      </c>
      <c r="J138" s="18" t="str">
        <f t="shared" si="7"/>
        <v/>
      </c>
      <c r="K138" s="18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8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8" t="str">
        <f t="shared" si="6"/>
        <v/>
      </c>
      <c r="J139" s="18" t="str">
        <f t="shared" si="7"/>
        <v/>
      </c>
      <c r="K139" s="18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8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8" t="str">
        <f t="shared" si="6"/>
        <v/>
      </c>
      <c r="J140" s="18" t="str">
        <f t="shared" si="7"/>
        <v/>
      </c>
      <c r="K140" s="18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8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8" t="str">
        <f t="shared" si="6"/>
        <v/>
      </c>
      <c r="J141" s="18" t="str">
        <f t="shared" si="7"/>
        <v/>
      </c>
      <c r="K141" s="18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8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8" t="str">
        <f t="shared" si="6"/>
        <v/>
      </c>
      <c r="J142" s="18" t="str">
        <f t="shared" si="7"/>
        <v/>
      </c>
      <c r="K142" s="18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8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8" t="str">
        <f t="shared" si="6"/>
        <v/>
      </c>
      <c r="J143" s="18" t="str">
        <f t="shared" si="7"/>
        <v/>
      </c>
      <c r="K143" s="18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8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8" t="str">
        <f t="shared" si="6"/>
        <v/>
      </c>
      <c r="J144" s="18" t="str">
        <f t="shared" si="7"/>
        <v/>
      </c>
      <c r="K144" s="18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8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8" t="str">
        <f t="shared" si="6"/>
        <v/>
      </c>
      <c r="J145" s="18" t="str">
        <f t="shared" si="7"/>
        <v/>
      </c>
      <c r="K145" s="18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8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8" t="str">
        <f t="shared" si="6"/>
        <v/>
      </c>
      <c r="J146" s="18" t="str">
        <f t="shared" si="7"/>
        <v/>
      </c>
      <c r="K146" s="18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8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8" t="str">
        <f t="shared" si="6"/>
        <v/>
      </c>
      <c r="J147" s="18" t="str">
        <f t="shared" si="7"/>
        <v/>
      </c>
      <c r="K147" s="18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8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8" t="str">
        <f t="shared" si="6"/>
        <v/>
      </c>
      <c r="J148" s="18" t="str">
        <f t="shared" si="7"/>
        <v/>
      </c>
      <c r="K148" s="18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8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8" t="str">
        <f t="shared" si="6"/>
        <v/>
      </c>
      <c r="J149" s="18" t="str">
        <f t="shared" si="7"/>
        <v/>
      </c>
      <c r="K149" s="18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8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8" t="str">
        <f t="shared" si="6"/>
        <v/>
      </c>
      <c r="J150" s="18" t="str">
        <f t="shared" si="7"/>
        <v/>
      </c>
      <c r="K150" s="18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8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8" t="str">
        <f t="shared" si="6"/>
        <v/>
      </c>
      <c r="J151" s="18" t="str">
        <f t="shared" si="7"/>
        <v/>
      </c>
      <c r="K151" s="18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8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8" t="str">
        <f t="shared" si="6"/>
        <v/>
      </c>
      <c r="J152" s="18" t="str">
        <f t="shared" si="7"/>
        <v/>
      </c>
      <c r="K152" s="18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8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8" t="str">
        <f t="shared" si="6"/>
        <v/>
      </c>
      <c r="J153" s="18" t="str">
        <f t="shared" si="7"/>
        <v/>
      </c>
      <c r="K153" s="18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8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8" t="str">
        <f t="shared" si="6"/>
        <v/>
      </c>
      <c r="J154" s="18" t="str">
        <f t="shared" si="7"/>
        <v/>
      </c>
      <c r="K154" s="18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8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8" t="str">
        <f t="shared" si="6"/>
        <v/>
      </c>
      <c r="J155" s="18" t="str">
        <f t="shared" si="7"/>
        <v/>
      </c>
      <c r="K155" s="18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8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8" t="str">
        <f t="shared" si="6"/>
        <v/>
      </c>
      <c r="J156" s="18" t="str">
        <f t="shared" si="7"/>
        <v/>
      </c>
      <c r="K156" s="18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8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8" t="str">
        <f t="shared" si="6"/>
        <v/>
      </c>
      <c r="J157" s="18" t="str">
        <f t="shared" si="7"/>
        <v/>
      </c>
      <c r="K157" s="18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8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8" t="str">
        <f t="shared" si="6"/>
        <v/>
      </c>
      <c r="J158" s="18" t="str">
        <f t="shared" si="7"/>
        <v/>
      </c>
      <c r="K158" s="18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8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8" t="str">
        <f t="shared" si="6"/>
        <v/>
      </c>
      <c r="J159" s="18" t="str">
        <f t="shared" si="7"/>
        <v/>
      </c>
      <c r="K159" s="18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8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8" t="str">
        <f t="shared" si="6"/>
        <v/>
      </c>
      <c r="J160" s="18" t="str">
        <f t="shared" si="7"/>
        <v/>
      </c>
      <c r="K160" s="18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8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8" t="str">
        <f t="shared" si="6"/>
        <v/>
      </c>
      <c r="J161" s="18" t="str">
        <f t="shared" si="7"/>
        <v/>
      </c>
      <c r="K161" s="18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8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8" t="str">
        <f t="shared" si="6"/>
        <v/>
      </c>
      <c r="J162" s="18" t="str">
        <f t="shared" si="7"/>
        <v/>
      </c>
      <c r="K162" s="18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8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8" t="str">
        <f t="shared" si="6"/>
        <v/>
      </c>
      <c r="J163" s="18" t="str">
        <f t="shared" si="7"/>
        <v/>
      </c>
      <c r="K163" s="18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8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8" t="str">
        <f t="shared" si="6"/>
        <v/>
      </c>
      <c r="J164" s="18" t="str">
        <f t="shared" si="7"/>
        <v/>
      </c>
      <c r="K164" s="18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8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8" t="str">
        <f t="shared" si="6"/>
        <v/>
      </c>
      <c r="J165" s="18" t="str">
        <f t="shared" si="7"/>
        <v/>
      </c>
      <c r="K165" s="18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8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8" t="str">
        <f t="shared" si="6"/>
        <v/>
      </c>
      <c r="J166" s="18" t="str">
        <f t="shared" si="7"/>
        <v/>
      </c>
      <c r="K166" s="18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8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8" t="str">
        <f t="shared" si="6"/>
        <v/>
      </c>
      <c r="J167" s="18" t="str">
        <f t="shared" si="7"/>
        <v/>
      </c>
      <c r="K167" s="18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8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8" t="str">
        <f t="shared" si="6"/>
        <v/>
      </c>
      <c r="J168" s="18" t="str">
        <f t="shared" si="7"/>
        <v/>
      </c>
      <c r="K168" s="18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8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8" t="str">
        <f t="shared" si="6"/>
        <v/>
      </c>
      <c r="J169" s="18" t="str">
        <f t="shared" si="7"/>
        <v/>
      </c>
      <c r="K169" s="18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8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8" t="str">
        <f t="shared" si="6"/>
        <v/>
      </c>
      <c r="J170" s="18" t="str">
        <f t="shared" si="7"/>
        <v/>
      </c>
      <c r="K170" s="18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8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8" t="str">
        <f t="shared" si="6"/>
        <v/>
      </c>
      <c r="J171" s="18" t="str">
        <f t="shared" si="7"/>
        <v/>
      </c>
      <c r="K171" s="18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8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8" t="str">
        <f t="shared" si="6"/>
        <v/>
      </c>
      <c r="J172" s="18" t="str">
        <f t="shared" si="7"/>
        <v/>
      </c>
      <c r="K172" s="18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8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8" t="str">
        <f t="shared" si="6"/>
        <v/>
      </c>
      <c r="J173" s="18" t="str">
        <f t="shared" si="7"/>
        <v/>
      </c>
      <c r="K173" s="18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8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8" t="str">
        <f t="shared" si="6"/>
        <v/>
      </c>
      <c r="J174" s="18" t="str">
        <f t="shared" si="7"/>
        <v/>
      </c>
      <c r="K174" s="18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8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8" t="str">
        <f t="shared" si="6"/>
        <v/>
      </c>
      <c r="J175" s="18" t="str">
        <f t="shared" si="7"/>
        <v/>
      </c>
      <c r="K175" s="18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8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8" t="str">
        <f t="shared" si="6"/>
        <v/>
      </c>
      <c r="J176" s="18" t="str">
        <f t="shared" si="7"/>
        <v/>
      </c>
      <c r="K176" s="18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8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8" t="str">
        <f t="shared" si="6"/>
        <v/>
      </c>
      <c r="J177" s="18" t="str">
        <f t="shared" si="7"/>
        <v/>
      </c>
      <c r="K177" s="18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8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8" t="str">
        <f t="shared" si="6"/>
        <v/>
      </c>
      <c r="J178" s="18" t="str">
        <f t="shared" si="7"/>
        <v/>
      </c>
      <c r="K178" s="18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8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8" t="str">
        <f t="shared" si="6"/>
        <v/>
      </c>
      <c r="J179" s="18" t="str">
        <f t="shared" si="7"/>
        <v/>
      </c>
      <c r="K179" s="18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8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8" t="str">
        <f t="shared" si="6"/>
        <v/>
      </c>
      <c r="J180" s="18" t="str">
        <f t="shared" si="7"/>
        <v/>
      </c>
      <c r="K180" s="18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8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8" t="str">
        <f t="shared" si="6"/>
        <v/>
      </c>
      <c r="J181" s="18" t="str">
        <f t="shared" si="7"/>
        <v/>
      </c>
      <c r="K181" s="18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8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8" t="str">
        <f t="shared" si="6"/>
        <v/>
      </c>
      <c r="J182" s="18" t="str">
        <f t="shared" si="7"/>
        <v/>
      </c>
      <c r="K182" s="18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8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8" t="str">
        <f t="shared" si="6"/>
        <v/>
      </c>
      <c r="J183" s="18" t="str">
        <f t="shared" si="7"/>
        <v/>
      </c>
      <c r="K183" s="18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8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8" t="str">
        <f t="shared" si="6"/>
        <v/>
      </c>
      <c r="J184" s="18" t="str">
        <f t="shared" si="7"/>
        <v/>
      </c>
      <c r="K184" s="18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8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8" t="str">
        <f t="shared" si="6"/>
        <v/>
      </c>
      <c r="J185" s="18" t="str">
        <f t="shared" si="7"/>
        <v/>
      </c>
      <c r="K185" s="18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8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8" t="str">
        <f t="shared" si="6"/>
        <v/>
      </c>
      <c r="J186" s="18" t="str">
        <f t="shared" si="7"/>
        <v/>
      </c>
      <c r="K186" s="18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8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8" t="str">
        <f t="shared" si="6"/>
        <v/>
      </c>
      <c r="J187" s="18" t="str">
        <f t="shared" si="7"/>
        <v/>
      </c>
      <c r="K187" s="18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8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8" t="str">
        <f t="shared" si="6"/>
        <v/>
      </c>
      <c r="J188" s="18" t="str">
        <f t="shared" si="7"/>
        <v/>
      </c>
      <c r="K188" s="18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8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8" t="str">
        <f t="shared" si="6"/>
        <v/>
      </c>
      <c r="J189" s="18" t="str">
        <f t="shared" si="7"/>
        <v/>
      </c>
      <c r="K189" s="18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8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8" t="str">
        <f t="shared" si="6"/>
        <v/>
      </c>
      <c r="J190" s="18" t="str">
        <f t="shared" si="7"/>
        <v/>
      </c>
      <c r="K190" s="18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8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8" t="str">
        <f t="shared" si="6"/>
        <v/>
      </c>
      <c r="J191" s="18" t="str">
        <f t="shared" si="7"/>
        <v/>
      </c>
      <c r="K191" s="18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8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8" t="str">
        <f t="shared" si="6"/>
        <v/>
      </c>
      <c r="J192" s="18" t="str">
        <f t="shared" si="7"/>
        <v/>
      </c>
      <c r="K192" s="18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8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8" t="str">
        <f t="shared" si="6"/>
        <v/>
      </c>
      <c r="J193" s="18" t="str">
        <f t="shared" si="7"/>
        <v/>
      </c>
      <c r="K193" s="18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8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57" si="9">IF(OR(G194="",H194=""),"",G194*H194)</f>
        <v/>
      </c>
      <c r="J194" s="18" t="str">
        <f t="shared" ref="J194:J257" si="10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57" si="11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8" t="str">
        <f t="shared" si="9"/>
        <v/>
      </c>
      <c r="J195" s="18" t="str">
        <f t="shared" si="10"/>
        <v/>
      </c>
      <c r="K195" s="18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1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8" t="str">
        <f t="shared" si="9"/>
        <v/>
      </c>
      <c r="J196" s="18" t="str">
        <f t="shared" si="10"/>
        <v/>
      </c>
      <c r="K196" s="18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1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8" t="str">
        <f t="shared" si="9"/>
        <v/>
      </c>
      <c r="J197" s="18" t="str">
        <f t="shared" si="10"/>
        <v/>
      </c>
      <c r="K197" s="18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1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8" t="str">
        <f t="shared" si="9"/>
        <v/>
      </c>
      <c r="J198" s="18" t="str">
        <f t="shared" si="10"/>
        <v/>
      </c>
      <c r="K198" s="18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1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8" t="str">
        <f t="shared" si="9"/>
        <v/>
      </c>
      <c r="J199" s="18" t="str">
        <f t="shared" si="10"/>
        <v/>
      </c>
      <c r="K199" s="18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1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8" t="str">
        <f t="shared" si="9"/>
        <v/>
      </c>
      <c r="J200" s="18" t="str">
        <f t="shared" si="10"/>
        <v/>
      </c>
      <c r="K200" s="18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1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8" t="str">
        <f t="shared" si="9"/>
        <v/>
      </c>
      <c r="J201" s="18" t="str">
        <f t="shared" si="10"/>
        <v/>
      </c>
      <c r="K201" s="18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1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8" t="str">
        <f t="shared" si="9"/>
        <v/>
      </c>
      <c r="J202" s="18" t="str">
        <f t="shared" si="10"/>
        <v/>
      </c>
      <c r="K202" s="18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1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8" t="str">
        <f t="shared" si="9"/>
        <v/>
      </c>
      <c r="J203" s="18" t="str">
        <f t="shared" si="10"/>
        <v/>
      </c>
      <c r="K203" s="18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1"/>
        <v/>
      </c>
      <c r="S203" s="16"/>
    </row>
    <row r="204" spans="1:19" x14ac:dyDescent="0.3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 x14ac:dyDescent="0.3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 x14ac:dyDescent="0.3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 x14ac:dyDescent="0.3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 x14ac:dyDescent="0.3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 x14ac:dyDescent="0.3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 x14ac:dyDescent="0.3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2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2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2:H210 P2:Q210" xr:uid="{00000000-0002-0000-0300-000000000000}">
      <formula1>"1,2,3,4,5"</formula1>
      <formula2>0</formula2>
    </dataValidation>
    <dataValidation type="list" allowBlank="1" sqref="L2:L210" xr:uid="{00000000-0002-0000-0300-000001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topLeftCell="D1" zoomScaleNormal="100" workbookViewId="0">
      <pane ySplit="1" topLeftCell="A13" activePane="bottomLeft" state="frozen"/>
      <selection pane="bottomLeft" activeCell="O2" sqref="O2:O21"/>
    </sheetView>
  </sheetViews>
  <sheetFormatPr defaultColWidth="8.6640625" defaultRowHeight="14.4" x14ac:dyDescent="0.3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0</v>
      </c>
      <c r="B1" s="15" t="s">
        <v>286</v>
      </c>
      <c r="C1" s="15" t="s">
        <v>287</v>
      </c>
      <c r="D1" s="15" t="s">
        <v>288</v>
      </c>
      <c r="E1" s="15" t="s">
        <v>289</v>
      </c>
      <c r="F1" s="15" t="s">
        <v>290</v>
      </c>
      <c r="G1" s="15" t="s">
        <v>291</v>
      </c>
      <c r="H1" s="15" t="s">
        <v>12</v>
      </c>
      <c r="I1" s="15" t="s">
        <v>13</v>
      </c>
      <c r="J1" s="15" t="s">
        <v>292</v>
      </c>
      <c r="K1" s="15" t="s">
        <v>293</v>
      </c>
      <c r="L1" s="15" t="s">
        <v>294</v>
      </c>
      <c r="M1" s="15" t="s">
        <v>295</v>
      </c>
      <c r="N1" s="15" t="s">
        <v>17</v>
      </c>
      <c r="O1" s="15" t="s">
        <v>296</v>
      </c>
    </row>
    <row r="2" spans="1:15" ht="38.25" customHeight="1" x14ac:dyDescent="0.3">
      <c r="A2" s="16" t="s">
        <v>19</v>
      </c>
      <c r="B2" s="16" t="s">
        <v>282</v>
      </c>
      <c r="C2" s="16" t="s">
        <v>297</v>
      </c>
      <c r="D2" s="19">
        <f>IFERROR(INDEX('Регистър на риска'!$I:$I,MATCH(A2,'Регистър на риска'!$A:$A,0)),"")</f>
        <v>20</v>
      </c>
      <c r="E2" s="16" t="s">
        <v>24</v>
      </c>
      <c r="F2" s="16" t="s">
        <v>298</v>
      </c>
      <c r="G2" s="16" t="s">
        <v>299</v>
      </c>
      <c r="H2" s="16" t="s">
        <v>25</v>
      </c>
      <c r="I2" s="16"/>
      <c r="J2" s="16"/>
      <c r="K2" s="16" t="s">
        <v>300</v>
      </c>
      <c r="L2" s="16">
        <v>2</v>
      </c>
      <c r="M2" s="16">
        <v>4</v>
      </c>
      <c r="N2" s="19">
        <f t="shared" ref="N2:N65" si="0">IF(OR(L2="",M2=""),"",L2*M2)</f>
        <v>8</v>
      </c>
      <c r="O2" s="17"/>
    </row>
    <row r="3" spans="1:15" ht="25.5" customHeight="1" x14ac:dyDescent="0.3">
      <c r="A3" s="16" t="s">
        <v>26</v>
      </c>
      <c r="B3" s="16" t="s">
        <v>216</v>
      </c>
      <c r="C3" s="16" t="s">
        <v>301</v>
      </c>
      <c r="D3" s="19">
        <f>IFERROR(INDEX('Регистър на риска'!$I:$I,MATCH(A3,'Регистър на риска'!$A:$A,0)),"")</f>
        <v>15</v>
      </c>
      <c r="E3" s="16" t="s">
        <v>24</v>
      </c>
      <c r="F3" s="16" t="s">
        <v>302</v>
      </c>
      <c r="G3" s="16" t="s">
        <v>303</v>
      </c>
      <c r="H3" s="16" t="s">
        <v>32</v>
      </c>
      <c r="I3" s="16"/>
      <c r="J3" s="16"/>
      <c r="K3" s="16" t="s">
        <v>300</v>
      </c>
      <c r="L3" s="16">
        <v>2</v>
      </c>
      <c r="M3" s="16">
        <v>4</v>
      </c>
      <c r="N3" s="19">
        <f t="shared" si="0"/>
        <v>8</v>
      </c>
      <c r="O3" s="17"/>
    </row>
    <row r="4" spans="1:15" ht="105.6" x14ac:dyDescent="0.3">
      <c r="A4" s="16" t="s">
        <v>33</v>
      </c>
      <c r="B4" s="16" t="s">
        <v>198</v>
      </c>
      <c r="C4" s="16" t="s">
        <v>304</v>
      </c>
      <c r="D4" s="19">
        <f>IFERROR(INDEX('Регистър на риска'!$I:$I,MATCH(A4,'Регистър на риска'!$A:$A,0)),"")</f>
        <v>16</v>
      </c>
      <c r="E4" s="16" t="s">
        <v>24</v>
      </c>
      <c r="F4" s="16" t="s">
        <v>305</v>
      </c>
      <c r="G4" s="16" t="s">
        <v>306</v>
      </c>
      <c r="H4" s="16" t="s">
        <v>39</v>
      </c>
      <c r="I4" s="16"/>
      <c r="J4" s="16"/>
      <c r="K4" s="16" t="s">
        <v>300</v>
      </c>
      <c r="L4" s="16">
        <v>2</v>
      </c>
      <c r="M4" s="16">
        <v>4</v>
      </c>
      <c r="N4" s="19">
        <f t="shared" si="0"/>
        <v>8</v>
      </c>
      <c r="O4" s="17"/>
    </row>
    <row r="5" spans="1:15" ht="66" x14ac:dyDescent="0.3">
      <c r="A5" s="16" t="s">
        <v>40</v>
      </c>
      <c r="B5" s="16" t="s">
        <v>223</v>
      </c>
      <c r="C5" s="16" t="s">
        <v>307</v>
      </c>
      <c r="D5" s="19">
        <f>IFERROR(INDEX('Регистър на риска'!$I:$I,MATCH(A5,'Регистър на риска'!$A:$A,0)),"")</f>
        <v>10</v>
      </c>
      <c r="E5" s="16" t="s">
        <v>24</v>
      </c>
      <c r="F5" s="16" t="s">
        <v>308</v>
      </c>
      <c r="G5" s="16" t="s">
        <v>309</v>
      </c>
      <c r="H5" s="16" t="s">
        <v>32</v>
      </c>
      <c r="I5" s="16"/>
      <c r="J5" s="16"/>
      <c r="K5" s="16" t="s">
        <v>300</v>
      </c>
      <c r="L5" s="16">
        <v>2</v>
      </c>
      <c r="M5" s="16">
        <v>3</v>
      </c>
      <c r="N5" s="19">
        <f t="shared" si="0"/>
        <v>6</v>
      </c>
      <c r="O5" s="17"/>
    </row>
    <row r="6" spans="1:15" ht="92.4" x14ac:dyDescent="0.3">
      <c r="A6" s="16" t="s">
        <v>46</v>
      </c>
      <c r="B6" s="16" t="s">
        <v>253</v>
      </c>
      <c r="C6" s="16" t="s">
        <v>310</v>
      </c>
      <c r="D6" s="19">
        <f>IFERROR(INDEX('Регистър на риска'!$I:$I,MATCH(A6,'Регистър на риска'!$A:$A,0)),"")</f>
        <v>16</v>
      </c>
      <c r="E6" s="16" t="s">
        <v>24</v>
      </c>
      <c r="F6" s="16" t="s">
        <v>311</v>
      </c>
      <c r="G6" s="16" t="s">
        <v>312</v>
      </c>
      <c r="H6" s="16" t="s">
        <v>39</v>
      </c>
      <c r="I6" s="16"/>
      <c r="J6" s="16"/>
      <c r="K6" s="16" t="s">
        <v>300</v>
      </c>
      <c r="L6" s="16">
        <v>2</v>
      </c>
      <c r="M6" s="16">
        <v>4</v>
      </c>
      <c r="N6" s="19">
        <f t="shared" si="0"/>
        <v>8</v>
      </c>
      <c r="O6" s="17"/>
    </row>
    <row r="7" spans="1:15" ht="79.2" x14ac:dyDescent="0.3">
      <c r="A7" s="16" t="s">
        <v>52</v>
      </c>
      <c r="B7" s="16" t="s">
        <v>237</v>
      </c>
      <c r="C7" s="16" t="s">
        <v>313</v>
      </c>
      <c r="D7" s="19">
        <f>IFERROR(INDEX('Регистър на риска'!$I:$I,MATCH(A7,'Регистър на риска'!$A:$A,0)),"")</f>
        <v>10</v>
      </c>
      <c r="E7" s="16" t="s">
        <v>24</v>
      </c>
      <c r="F7" s="16" t="s">
        <v>314</v>
      </c>
      <c r="G7" s="16" t="s">
        <v>315</v>
      </c>
      <c r="H7" s="16" t="s">
        <v>58</v>
      </c>
      <c r="I7" s="16"/>
      <c r="J7" s="16"/>
      <c r="K7" s="16" t="s">
        <v>300</v>
      </c>
      <c r="L7" s="16">
        <v>1</v>
      </c>
      <c r="M7" s="16">
        <v>5</v>
      </c>
      <c r="N7" s="19">
        <f t="shared" si="0"/>
        <v>5</v>
      </c>
      <c r="O7" s="17"/>
    </row>
    <row r="8" spans="1:15" ht="66" x14ac:dyDescent="0.3">
      <c r="A8" s="16" t="s">
        <v>59</v>
      </c>
      <c r="B8" s="16" t="s">
        <v>230</v>
      </c>
      <c r="C8" s="16" t="s">
        <v>316</v>
      </c>
      <c r="D8" s="19">
        <f>IFERROR(INDEX('Регистър на риска'!$I:$I,MATCH(A8,'Регистър на риска'!$A:$A,0)),"")</f>
        <v>12</v>
      </c>
      <c r="E8" s="16" t="s">
        <v>24</v>
      </c>
      <c r="F8" s="16" t="s">
        <v>317</v>
      </c>
      <c r="G8" s="16" t="s">
        <v>318</v>
      </c>
      <c r="H8" s="16" t="s">
        <v>58</v>
      </c>
      <c r="I8" s="16"/>
      <c r="J8" s="16"/>
      <c r="K8" s="16" t="s">
        <v>300</v>
      </c>
      <c r="L8" s="16">
        <v>2</v>
      </c>
      <c r="M8" s="16">
        <v>3</v>
      </c>
      <c r="N8" s="19">
        <f t="shared" si="0"/>
        <v>6</v>
      </c>
      <c r="O8" s="17"/>
    </row>
    <row r="9" spans="1:15" ht="92.4" x14ac:dyDescent="0.3">
      <c r="A9" s="16" t="s">
        <v>65</v>
      </c>
      <c r="B9" s="16" t="s">
        <v>249</v>
      </c>
      <c r="C9" s="16" t="s">
        <v>319</v>
      </c>
      <c r="D9" s="19">
        <f>IFERROR(INDEX('Регистър на риска'!$I:$I,MATCH(A9,'Регистър на риска'!$A:$A,0)),"")</f>
        <v>12</v>
      </c>
      <c r="E9" s="16" t="s">
        <v>24</v>
      </c>
      <c r="F9" s="16" t="s">
        <v>320</v>
      </c>
      <c r="G9" s="16" t="s">
        <v>321</v>
      </c>
      <c r="H9" s="16" t="s">
        <v>39</v>
      </c>
      <c r="I9" s="16"/>
      <c r="J9" s="16"/>
      <c r="K9" s="16" t="s">
        <v>300</v>
      </c>
      <c r="L9" s="16">
        <v>1</v>
      </c>
      <c r="M9" s="16">
        <v>4</v>
      </c>
      <c r="N9" s="19">
        <f t="shared" si="0"/>
        <v>4</v>
      </c>
      <c r="O9" s="17"/>
    </row>
    <row r="10" spans="1:15" ht="66" x14ac:dyDescent="0.3">
      <c r="A10" s="16" t="s">
        <v>70</v>
      </c>
      <c r="B10" s="16" t="s">
        <v>246</v>
      </c>
      <c r="C10" s="16" t="s">
        <v>322</v>
      </c>
      <c r="D10" s="19">
        <f>IFERROR(INDEX('Регистър на риска'!$I:$I,MATCH(A10,'Регистър на риска'!$A:$A,0)),"")</f>
        <v>10</v>
      </c>
      <c r="E10" s="16" t="s">
        <v>24</v>
      </c>
      <c r="F10" s="16" t="s">
        <v>323</v>
      </c>
      <c r="G10" s="16" t="s">
        <v>324</v>
      </c>
      <c r="H10" s="16" t="s">
        <v>25</v>
      </c>
      <c r="I10" s="16"/>
      <c r="J10" s="16"/>
      <c r="K10" s="16" t="s">
        <v>300</v>
      </c>
      <c r="L10" s="16">
        <v>2</v>
      </c>
      <c r="M10" s="16">
        <v>2</v>
      </c>
      <c r="N10" s="19">
        <f t="shared" si="0"/>
        <v>4</v>
      </c>
      <c r="O10" s="17"/>
    </row>
    <row r="11" spans="1:15" ht="66" x14ac:dyDescent="0.3">
      <c r="A11" s="16" t="s">
        <v>76</v>
      </c>
      <c r="B11" s="16" t="s">
        <v>223</v>
      </c>
      <c r="C11" s="16" t="s">
        <v>325</v>
      </c>
      <c r="D11" s="19">
        <f>IFERROR(INDEX('Регистър на риска'!$I:$I,MATCH(A11,'Регистър на риска'!$A:$A,0)),"")</f>
        <v>12</v>
      </c>
      <c r="E11" s="16" t="s">
        <v>80</v>
      </c>
      <c r="F11" s="16" t="s">
        <v>326</v>
      </c>
      <c r="G11" s="16" t="s">
        <v>327</v>
      </c>
      <c r="H11" s="16" t="s">
        <v>81</v>
      </c>
      <c r="I11" s="16"/>
      <c r="J11" s="16"/>
      <c r="K11" s="16" t="s">
        <v>300</v>
      </c>
      <c r="L11" s="16">
        <v>3</v>
      </c>
      <c r="M11" s="16">
        <v>2</v>
      </c>
      <c r="N11" s="19">
        <f t="shared" si="0"/>
        <v>6</v>
      </c>
      <c r="O11" s="17"/>
    </row>
    <row r="12" spans="1:15" ht="26.4" x14ac:dyDescent="0.3">
      <c r="A12" s="16" t="s">
        <v>82</v>
      </c>
      <c r="B12" s="16" t="s">
        <v>271</v>
      </c>
      <c r="C12" s="16" t="s">
        <v>328</v>
      </c>
      <c r="D12" s="19">
        <f>IFERROR(INDEX('Регистър на риска'!$I:$I,MATCH(A12,'Регистър на риска'!$A:$A,0)),"")</f>
        <v>9</v>
      </c>
      <c r="E12" s="16" t="s">
        <v>88</v>
      </c>
      <c r="F12" s="16" t="s">
        <v>329</v>
      </c>
      <c r="G12" s="16" t="s">
        <v>69</v>
      </c>
      <c r="H12" s="16" t="s">
        <v>25</v>
      </c>
      <c r="I12" s="16"/>
      <c r="J12" s="16"/>
      <c r="K12" s="16" t="s">
        <v>330</v>
      </c>
      <c r="L12" s="16">
        <v>3</v>
      </c>
      <c r="M12" s="16">
        <v>3</v>
      </c>
      <c r="N12" s="19">
        <f t="shared" si="0"/>
        <v>9</v>
      </c>
      <c r="O12" s="17"/>
    </row>
    <row r="13" spans="1:15" ht="92.4" x14ac:dyDescent="0.3">
      <c r="A13" s="16" t="s">
        <v>89</v>
      </c>
      <c r="B13" s="16" t="s">
        <v>276</v>
      </c>
      <c r="C13" s="16" t="s">
        <v>331</v>
      </c>
      <c r="D13" s="19">
        <f>IFERROR(INDEX('Регистър на риска'!$I:$I,MATCH(A13,'Регистър на риска'!$A:$A,0)),"")</f>
        <v>12</v>
      </c>
      <c r="E13" s="16" t="s">
        <v>24</v>
      </c>
      <c r="F13" s="16" t="s">
        <v>332</v>
      </c>
      <c r="G13" s="16" t="s">
        <v>333</v>
      </c>
      <c r="H13" s="16" t="s">
        <v>32</v>
      </c>
      <c r="I13" s="16"/>
      <c r="J13" s="16"/>
      <c r="K13" s="16" t="s">
        <v>300</v>
      </c>
      <c r="L13" s="16">
        <v>1</v>
      </c>
      <c r="M13" s="16">
        <v>4</v>
      </c>
      <c r="N13" s="19">
        <f t="shared" si="0"/>
        <v>4</v>
      </c>
      <c r="O13" s="17"/>
    </row>
    <row r="14" spans="1:15" ht="26.4" x14ac:dyDescent="0.3">
      <c r="A14" s="16" t="s">
        <v>93</v>
      </c>
      <c r="B14" s="16" t="s">
        <v>266</v>
      </c>
      <c r="C14" s="16" t="s">
        <v>334</v>
      </c>
      <c r="D14" s="19">
        <f>IFERROR(INDEX('Регистър на риска'!$I:$I,MATCH(A14,'Регистър на риска'!$A:$A,0)),"")</f>
        <v>8</v>
      </c>
      <c r="E14" s="16" t="s">
        <v>88</v>
      </c>
      <c r="F14" s="16" t="s">
        <v>335</v>
      </c>
      <c r="G14" s="16" t="s">
        <v>69</v>
      </c>
      <c r="H14" s="16" t="s">
        <v>25</v>
      </c>
      <c r="I14" s="16"/>
      <c r="J14" s="16"/>
      <c r="K14" s="16" t="s">
        <v>330</v>
      </c>
      <c r="L14" s="16">
        <v>2</v>
      </c>
      <c r="M14" s="16">
        <v>4</v>
      </c>
      <c r="N14" s="19">
        <f t="shared" si="0"/>
        <v>8</v>
      </c>
      <c r="O14" s="17"/>
    </row>
    <row r="15" spans="1:15" ht="26.4" x14ac:dyDescent="0.3">
      <c r="A15" s="16" t="s">
        <v>99</v>
      </c>
      <c r="B15" s="16" t="s">
        <v>249</v>
      </c>
      <c r="C15" s="16" t="s">
        <v>336</v>
      </c>
      <c r="D15" s="19">
        <f>IFERROR(INDEX('Регистър на риска'!$I:$I,MATCH(A15,'Регистър на риска'!$A:$A,0)),"")</f>
        <v>8</v>
      </c>
      <c r="E15" s="16" t="s">
        <v>88</v>
      </c>
      <c r="F15" s="16" t="s">
        <v>337</v>
      </c>
      <c r="G15" s="16" t="s">
        <v>69</v>
      </c>
      <c r="H15" s="16" t="s">
        <v>25</v>
      </c>
      <c r="I15" s="16"/>
      <c r="J15" s="16"/>
      <c r="K15" s="16" t="s">
        <v>330</v>
      </c>
      <c r="L15" s="16">
        <v>2</v>
      </c>
      <c r="M15" s="16">
        <v>4</v>
      </c>
      <c r="N15" s="19">
        <f t="shared" si="0"/>
        <v>8</v>
      </c>
      <c r="O15" s="17"/>
    </row>
    <row r="16" spans="1:15" ht="66" x14ac:dyDescent="0.3">
      <c r="A16" s="16" t="s">
        <v>103</v>
      </c>
      <c r="B16" s="16" t="s">
        <v>285</v>
      </c>
      <c r="C16" s="16" t="s">
        <v>338</v>
      </c>
      <c r="D16" s="19" t="str">
        <f>IFERROR(INDEX('Регистър на риска'!$I:$I,MATCH(A16,'Регистър на риска'!$A:$A,0)),"")</f>
        <v/>
      </c>
      <c r="E16" s="16" t="s">
        <v>24</v>
      </c>
      <c r="F16" s="16" t="s">
        <v>339</v>
      </c>
      <c r="G16" s="16" t="s">
        <v>340</v>
      </c>
      <c r="H16" s="16" t="s">
        <v>39</v>
      </c>
      <c r="I16" s="16"/>
      <c r="J16" s="16"/>
      <c r="K16" s="16" t="s">
        <v>300</v>
      </c>
      <c r="L16" s="16">
        <v>2</v>
      </c>
      <c r="M16" s="16">
        <v>2</v>
      </c>
      <c r="N16" s="19">
        <f t="shared" si="0"/>
        <v>4</v>
      </c>
      <c r="O16" s="17"/>
    </row>
    <row r="17" spans="1:15" ht="26.4" x14ac:dyDescent="0.3">
      <c r="A17" s="16" t="s">
        <v>104</v>
      </c>
      <c r="B17" s="16" t="s">
        <v>208</v>
      </c>
      <c r="C17" s="16" t="s">
        <v>341</v>
      </c>
      <c r="D17" s="19" t="str">
        <f>IFERROR(INDEX('Регистър на риска'!$I:$I,MATCH(A17,'Регистър на риска'!$A:$A,0)),"")</f>
        <v/>
      </c>
      <c r="E17" s="16" t="s">
        <v>88</v>
      </c>
      <c r="F17" s="16" t="s">
        <v>342</v>
      </c>
      <c r="G17" s="16" t="s">
        <v>69</v>
      </c>
      <c r="H17" s="16" t="s">
        <v>81</v>
      </c>
      <c r="I17" s="16"/>
      <c r="J17" s="16"/>
      <c r="K17" s="16" t="s">
        <v>330</v>
      </c>
      <c r="L17" s="16">
        <v>1</v>
      </c>
      <c r="M17" s="16">
        <v>4</v>
      </c>
      <c r="N17" s="19">
        <f t="shared" si="0"/>
        <v>4</v>
      </c>
      <c r="O17" s="17"/>
    </row>
    <row r="18" spans="1:15" x14ac:dyDescent="0.3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 x14ac:dyDescent="0.3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 x14ac:dyDescent="0.3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 x14ac:dyDescent="0.3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 x14ac:dyDescent="0.3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 x14ac:dyDescent="0.3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 x14ac:dyDescent="0.3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 x14ac:dyDescent="0.3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 x14ac:dyDescent="0.3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 x14ac:dyDescent="0.3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 x14ac:dyDescent="0.3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 x14ac:dyDescent="0.3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 x14ac:dyDescent="0.3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 x14ac:dyDescent="0.3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 x14ac:dyDescent="0.3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 x14ac:dyDescent="0.3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 x14ac:dyDescent="0.3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 x14ac:dyDescent="0.3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 x14ac:dyDescent="0.3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 x14ac:dyDescent="0.3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 x14ac:dyDescent="0.3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 x14ac:dyDescent="0.3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 x14ac:dyDescent="0.3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 x14ac:dyDescent="0.3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 x14ac:dyDescent="0.3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 x14ac:dyDescent="0.3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 x14ac:dyDescent="0.3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 x14ac:dyDescent="0.3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 x14ac:dyDescent="0.3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 x14ac:dyDescent="0.3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 x14ac:dyDescent="0.3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 x14ac:dyDescent="0.3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 x14ac:dyDescent="0.3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 x14ac:dyDescent="0.3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 x14ac:dyDescent="0.3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 x14ac:dyDescent="0.3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 x14ac:dyDescent="0.3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 x14ac:dyDescent="0.3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 x14ac:dyDescent="0.3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 x14ac:dyDescent="0.3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 x14ac:dyDescent="0.3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 x14ac:dyDescent="0.3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 x14ac:dyDescent="0.3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 x14ac:dyDescent="0.3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 x14ac:dyDescent="0.3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 x14ac:dyDescent="0.3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 x14ac:dyDescent="0.3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 x14ac:dyDescent="0.3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si="0"/>
        <v/>
      </c>
      <c r="O65" s="16"/>
    </row>
    <row r="66" spans="1:15" x14ac:dyDescent="0.3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ref="N66:N129" si="1">IF(OR(L66="",M66=""),"",L66*M66)</f>
        <v/>
      </c>
      <c r="O66" s="16"/>
    </row>
    <row r="67" spans="1:15" x14ac:dyDescent="0.3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 x14ac:dyDescent="0.3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 x14ac:dyDescent="0.3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 x14ac:dyDescent="0.3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 x14ac:dyDescent="0.3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 x14ac:dyDescent="0.3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 x14ac:dyDescent="0.3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 x14ac:dyDescent="0.3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 x14ac:dyDescent="0.3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 x14ac:dyDescent="0.3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 x14ac:dyDescent="0.3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 x14ac:dyDescent="0.3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 x14ac:dyDescent="0.3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 x14ac:dyDescent="0.3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 x14ac:dyDescent="0.3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 x14ac:dyDescent="0.3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 x14ac:dyDescent="0.3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 x14ac:dyDescent="0.3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 x14ac:dyDescent="0.3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 x14ac:dyDescent="0.3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 x14ac:dyDescent="0.3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 x14ac:dyDescent="0.3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 x14ac:dyDescent="0.3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 x14ac:dyDescent="0.3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 x14ac:dyDescent="0.3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 x14ac:dyDescent="0.3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 x14ac:dyDescent="0.3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 x14ac:dyDescent="0.3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 x14ac:dyDescent="0.3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 x14ac:dyDescent="0.3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 x14ac:dyDescent="0.3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 x14ac:dyDescent="0.3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 x14ac:dyDescent="0.3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 x14ac:dyDescent="0.3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 x14ac:dyDescent="0.3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 x14ac:dyDescent="0.3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 x14ac:dyDescent="0.3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 x14ac:dyDescent="0.3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 x14ac:dyDescent="0.3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 x14ac:dyDescent="0.3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 x14ac:dyDescent="0.3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 x14ac:dyDescent="0.3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 x14ac:dyDescent="0.3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 x14ac:dyDescent="0.3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 x14ac:dyDescent="0.3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 x14ac:dyDescent="0.3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 x14ac:dyDescent="0.3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 x14ac:dyDescent="0.3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 x14ac:dyDescent="0.3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 x14ac:dyDescent="0.3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 x14ac:dyDescent="0.3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 x14ac:dyDescent="0.3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 x14ac:dyDescent="0.3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 x14ac:dyDescent="0.3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 x14ac:dyDescent="0.3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 x14ac:dyDescent="0.3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 x14ac:dyDescent="0.3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 x14ac:dyDescent="0.3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 x14ac:dyDescent="0.3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 x14ac:dyDescent="0.3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 x14ac:dyDescent="0.3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 x14ac:dyDescent="0.3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 x14ac:dyDescent="0.3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</row>
    <row r="130" spans="1:15" x14ac:dyDescent="0.3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IF(OR(L130="",M130=""),"",L130*M130)</f>
        <v/>
      </c>
      <c r="O130" s="16"/>
    </row>
    <row r="131" spans="1:15" x14ac:dyDescent="0.3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 x14ac:dyDescent="0.3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 x14ac:dyDescent="0.3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 x14ac:dyDescent="0.3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 x14ac:dyDescent="0.3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 x14ac:dyDescent="0.3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 x14ac:dyDescent="0.3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 x14ac:dyDescent="0.3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 x14ac:dyDescent="0.3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 x14ac:dyDescent="0.3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 x14ac:dyDescent="0.3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 x14ac:dyDescent="0.3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 x14ac:dyDescent="0.3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 x14ac:dyDescent="0.3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 x14ac:dyDescent="0.3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 x14ac:dyDescent="0.3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 x14ac:dyDescent="0.3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 x14ac:dyDescent="0.3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 x14ac:dyDescent="0.3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 x14ac:dyDescent="0.3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 x14ac:dyDescent="0.3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 x14ac:dyDescent="0.3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 x14ac:dyDescent="0.3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 x14ac:dyDescent="0.3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 x14ac:dyDescent="0.3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 x14ac:dyDescent="0.3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 x14ac:dyDescent="0.3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 x14ac:dyDescent="0.3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 x14ac:dyDescent="0.3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 x14ac:dyDescent="0.3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 x14ac:dyDescent="0.3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 x14ac:dyDescent="0.3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 x14ac:dyDescent="0.3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 x14ac:dyDescent="0.3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 x14ac:dyDescent="0.3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 x14ac:dyDescent="0.3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 x14ac:dyDescent="0.3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 x14ac:dyDescent="0.3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 x14ac:dyDescent="0.3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 x14ac:dyDescent="0.3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 x14ac:dyDescent="0.3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 x14ac:dyDescent="0.3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 x14ac:dyDescent="0.3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 x14ac:dyDescent="0.3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 x14ac:dyDescent="0.3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 x14ac:dyDescent="0.3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 x14ac:dyDescent="0.3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 x14ac:dyDescent="0.3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 x14ac:dyDescent="0.3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 x14ac:dyDescent="0.3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 x14ac:dyDescent="0.3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 x14ac:dyDescent="0.3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 x14ac:dyDescent="0.3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 x14ac:dyDescent="0.3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 x14ac:dyDescent="0.3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 x14ac:dyDescent="0.3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 x14ac:dyDescent="0.3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 x14ac:dyDescent="0.3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 x14ac:dyDescent="0.3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 x14ac:dyDescent="0.3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 x14ac:dyDescent="0.3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 x14ac:dyDescent="0.3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 x14ac:dyDescent="0.3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</row>
    <row r="194" spans="1:15" x14ac:dyDescent="0.3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57" si="3">IF(OR(L194="",M194=""),"",L194*M194)</f>
        <v/>
      </c>
      <c r="O194" s="16"/>
    </row>
    <row r="195" spans="1:15" x14ac:dyDescent="0.3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 x14ac:dyDescent="0.3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 x14ac:dyDescent="0.3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 x14ac:dyDescent="0.3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 x14ac:dyDescent="0.3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 x14ac:dyDescent="0.3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 x14ac:dyDescent="0.3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 x14ac:dyDescent="0.3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 x14ac:dyDescent="0.3">
      <c r="A203" s="16"/>
      <c r="B203" s="16"/>
      <c r="C203" s="16"/>
      <c r="D203" s="18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topLeftCell="A5" workbookViewId="0"/>
  </sheetViews>
  <sheetFormatPr defaultRowHeight="14.4" x14ac:dyDescent="0.3"/>
  <cols>
    <col min="1" max="1" width="16" customWidth="1"/>
    <col min="2" max="6" width="18" customWidth="1"/>
    <col min="7" max="7" width="3" customWidth="1"/>
    <col min="8" max="8" width="16" customWidth="1"/>
    <col min="9" max="13" width="18" customWidth="1"/>
  </cols>
  <sheetData>
    <row r="1" spans="1:13" ht="17.399999999999999" x14ac:dyDescent="0.3">
      <c r="A1" s="20" t="s">
        <v>343</v>
      </c>
    </row>
    <row r="2" spans="1:13" x14ac:dyDescent="0.3">
      <c r="A2" s="21" t="s">
        <v>344</v>
      </c>
    </row>
    <row r="4" spans="1:13" x14ac:dyDescent="0.3">
      <c r="A4" s="37" t="s">
        <v>345</v>
      </c>
      <c r="B4" s="38"/>
      <c r="C4" s="38"/>
      <c r="D4" s="38"/>
      <c r="E4" s="38"/>
      <c r="F4" s="38"/>
      <c r="H4" s="37" t="s">
        <v>346</v>
      </c>
      <c r="I4" s="38"/>
      <c r="J4" s="38"/>
      <c r="K4" s="38"/>
      <c r="L4" s="38"/>
      <c r="M4" s="38"/>
    </row>
    <row r="5" spans="1:13" ht="42" customHeight="1" x14ac:dyDescent="0.3">
      <c r="A5" s="22" t="s">
        <v>347</v>
      </c>
      <c r="B5" s="23" t="str">
        <f t="array" ref="B5">_xlfn.TEXTJOIN(", ",TRUE,IF(('Регистър на риска'!$G$2:$G$210=5)*('Регистър на риска'!$H$2:$H$210=1),'Регистър на риска'!$A$2:$A$210,""))</f>
        <v/>
      </c>
      <c r="C5" s="24" t="str">
        <f t="array" ref="C5">_xlfn.TEXTJOIN(", ",TRUE,IF(('Регистър на риска'!$G$2:$G$210=5)*('Регистър на риска'!$H$2:$H$210=2),'Регистър на риска'!$A$2:$A$210,""))</f>
        <v/>
      </c>
      <c r="D5" s="24" t="str">
        <f t="array" ref="D5">_xlfn.TEXTJOIN(", ",TRUE,IF(('Регистър на риска'!$G$2:$G$210=5)*('Регистър на риска'!$H$2:$H$210=3),'Регистър на риска'!$A$2:$A$210,""))</f>
        <v/>
      </c>
      <c r="E5" s="25" t="str">
        <f t="array" ref="E5">_xlfn.TEXTJOIN(", ",TRUE,IF(('Регистър на риска'!$G$2:$G$210=5)*('Регистър на риска'!$H$2:$H$210=4),'Регистър на риска'!$A$2:$A$210,""))</f>
        <v>R-01</v>
      </c>
      <c r="F5" s="25" t="str">
        <f t="array" ref="F5">_xlfn.TEXTJOIN(", ",TRUE,IF(('Регистър на риска'!$G$2:$G$210=5)*('Регистър на риска'!$H$2:$H$210=5),'Регистър на риска'!$A$2:$A$210,""))</f>
        <v/>
      </c>
      <c r="H5" s="22" t="s">
        <v>347</v>
      </c>
      <c r="I5" s="23" t="str">
        <f t="array" ref="I5">_xlfn.TEXTJOIN(", ",TRUE,IF(('Регистър на риска'!$P$2:$P$210=5)*('Регистър на риска'!$Q$2:$Q$210=1),'Регистър на риска'!$A$2:$A$210,""))</f>
        <v/>
      </c>
      <c r="J5" s="24" t="str">
        <f t="array" ref="J5">_xlfn.TEXTJOIN(", ",TRUE,IF(('Регистър на риска'!$P$2:$P$210=5)*('Регистър на риска'!$Q$2:$Q$210=2),'Регистър на риска'!$A$2:$A$210,""))</f>
        <v/>
      </c>
      <c r="K5" s="24" t="str">
        <f t="array" ref="K5">_xlfn.TEXTJOIN(", ",TRUE,IF(('Регистър на риска'!$P$2:$P$210=5)*('Регистър на риска'!$Q$2:$Q$210=3),'Регистър на риска'!$A$2:$A$210,""))</f>
        <v/>
      </c>
      <c r="L5" s="25" t="str">
        <f t="array" ref="L5">_xlfn.TEXTJOIN(", ",TRUE,IF(('Регистър на риска'!$P$2:$P$210=5)*('Регистър на риска'!$Q$2:$Q$210=4),'Регистър на риска'!$A$2:$A$210,""))</f>
        <v/>
      </c>
      <c r="M5" s="25" t="str">
        <f t="array" ref="M5">_xlfn.TEXTJOIN(", ",TRUE,IF(('Регистър на риска'!$P$2:$P$210=5)*('Регистър на риска'!$Q$2:$Q$210=5),'Регистър на риска'!$A$2:$A$210,""))</f>
        <v/>
      </c>
    </row>
    <row r="6" spans="1:13" ht="42" customHeight="1" x14ac:dyDescent="0.3">
      <c r="A6" s="22" t="s">
        <v>348</v>
      </c>
      <c r="B6" s="26" t="str">
        <f t="array" ref="B6">_xlfn.TEXTJOIN(", ",TRUE,IF(('Регистър на риска'!$G$2:$G$210=4)*('Регистър на риска'!$H$2:$H$210=1),'Регистър на риска'!$A$2:$A$210,""))</f>
        <v/>
      </c>
      <c r="C6" s="23" t="str">
        <f t="array" ref="C6">_xlfn.TEXTJOIN(", ",TRUE,IF(('Регистър на риска'!$G$2:$G$210=4)*('Регистър на риска'!$H$2:$H$210=2),'Регистър на риска'!$A$2:$A$210,""))</f>
        <v/>
      </c>
      <c r="D6" s="24" t="str">
        <f t="array" ref="D6">_xlfn.TEXTJOIN(", ",TRUE,IF(('Регистър на риска'!$G$2:$G$210=4)*('Регистър на риска'!$H$2:$H$210=3),'Регистър на риска'!$A$2:$A$210,""))</f>
        <v>R-10</v>
      </c>
      <c r="E6" s="25" t="str">
        <f t="array" ref="E6">_xlfn.TEXTJOIN(", ",TRUE,IF(('Регистър на риска'!$G$2:$G$210=4)*('Регистър на риска'!$H$2:$H$210=4),'Регистър на риска'!$A$2:$A$210,""))</f>
        <v>R-03, R-05</v>
      </c>
      <c r="F6" s="25" t="str">
        <f t="array" ref="F6">_xlfn.TEXTJOIN(", ",TRUE,IF(('Регистър на риска'!$G$2:$G$210=4)*('Регистър на риска'!$H$2:$H$210=5),'Регистър на риска'!$A$2:$A$210,""))</f>
        <v/>
      </c>
      <c r="H6" s="22" t="s">
        <v>348</v>
      </c>
      <c r="I6" s="26" t="str">
        <f t="array" ref="I6">_xlfn.TEXTJOIN(", ",TRUE,IF(('Регистър на риска'!$P$2:$P$210=4)*('Регистър на риска'!$Q$2:$Q$210=1),'Регистър на риска'!$A$2:$A$210,""))</f>
        <v/>
      </c>
      <c r="J6" s="23" t="str">
        <f t="array" ref="J6">_xlfn.TEXTJOIN(", ",TRUE,IF(('Регистър на риска'!$P$2:$P$210=4)*('Регистър на риска'!$Q$2:$Q$210=2),'Регистър на риска'!$A$2:$A$210,""))</f>
        <v/>
      </c>
      <c r="K6" s="24" t="str">
        <f t="array" ref="K6">_xlfn.TEXTJOIN(", ",TRUE,IF(('Регистър на риска'!$P$2:$P$210=4)*('Регистър на риска'!$Q$2:$Q$210=3),'Регистър на риска'!$A$2:$A$210,""))</f>
        <v/>
      </c>
      <c r="L6" s="25" t="str">
        <f t="array" ref="L6">_xlfn.TEXTJOIN(", ",TRUE,IF(('Регистър на риска'!$P$2:$P$210=4)*('Регистър на риска'!$Q$2:$Q$210=4),'Регистър на риска'!$A$2:$A$210,""))</f>
        <v/>
      </c>
      <c r="M6" s="25" t="str">
        <f t="array" ref="M6">_xlfn.TEXTJOIN(", ",TRUE,IF(('Регистър на риска'!$P$2:$P$210=4)*('Регистър на риска'!$Q$2:$Q$210=5),'Регистър на риска'!$A$2:$A$210,""))</f>
        <v/>
      </c>
    </row>
    <row r="7" spans="1:13" ht="42" customHeight="1" x14ac:dyDescent="0.3">
      <c r="A7" s="22" t="s">
        <v>349</v>
      </c>
      <c r="B7" s="26" t="str">
        <f t="array" ref="B7">_xlfn.TEXTJOIN(", ",TRUE,IF(('Регистър на риска'!$G$2:$G$210=3)*('Регистър на риска'!$H$2:$H$210=1),'Регистър на риска'!$A$2:$A$210,""))</f>
        <v/>
      </c>
      <c r="C7" s="23" t="str">
        <f t="array" ref="C7">_xlfn.TEXTJOIN(", ",TRUE,IF(('Регистър на риска'!$G$2:$G$210=3)*('Регистър на риска'!$H$2:$H$210=2),'Регистър на риска'!$A$2:$A$210,""))</f>
        <v/>
      </c>
      <c r="D7" s="23" t="str">
        <f t="array" ref="D7">_xlfn.TEXTJOIN(", ",TRUE,IF(('Регистър на риска'!$G$2:$G$210=3)*('Регистър на риска'!$H$2:$H$210=3),'Регистър на риска'!$A$2:$A$210,""))</f>
        <v>R-11</v>
      </c>
      <c r="E7" s="24" t="str">
        <f t="array" ref="E7">_xlfn.TEXTJOIN(", ",TRUE,IF(('Регистър на риска'!$G$2:$G$210=3)*('Регистър на риска'!$H$2:$H$210=4),'Регистър на риска'!$A$2:$A$210,""))</f>
        <v>R-07, R-08, R-12</v>
      </c>
      <c r="F7" s="24" t="str">
        <f t="array" ref="F7">_xlfn.TEXTJOIN(", ",TRUE,IF(('Регистър на риска'!$G$2:$G$210=3)*('Регистър на риска'!$H$2:$H$210=5),'Регистър на риска'!$A$2:$A$210,""))</f>
        <v>R-02</v>
      </c>
      <c r="H7" s="22" t="s">
        <v>349</v>
      </c>
      <c r="I7" s="26" t="str">
        <f t="array" ref="I7">_xlfn.TEXTJOIN(", ",TRUE,IF(('Регистър на риска'!$P$2:$P$210=3)*('Регистър на риска'!$Q$2:$Q$210=1),'Регистър на риска'!$A$2:$A$210,""))</f>
        <v/>
      </c>
      <c r="J7" s="23" t="str">
        <f t="array" ref="J7">_xlfn.TEXTJOIN(", ",TRUE,IF(('Регистър на риска'!$P$2:$P$210=3)*('Регистър на риска'!$Q$2:$Q$210=2),'Регистър на риска'!$A$2:$A$210,""))</f>
        <v>R-10</v>
      </c>
      <c r="K7" s="23" t="str">
        <f t="array" ref="K7">_xlfn.TEXTJOIN(", ",TRUE,IF(('Регистър на риска'!$P$2:$P$210=3)*('Регистър на риска'!$Q$2:$Q$210=3),'Регистър на риска'!$A$2:$A$210,""))</f>
        <v>R-11</v>
      </c>
      <c r="L7" s="24" t="str">
        <f t="array" ref="L7">_xlfn.TEXTJOIN(", ",TRUE,IF(('Регистър на риска'!$P$2:$P$210=3)*('Регистър на риска'!$Q$2:$Q$210=4),'Регистър на риска'!$A$2:$A$210,""))</f>
        <v/>
      </c>
      <c r="M7" s="24" t="str">
        <f t="array" ref="M7">_xlfn.TEXTJOIN(", ",TRUE,IF(('Регистър на риска'!$P$2:$P$210=3)*('Регистър на риска'!$Q$2:$Q$210=5),'Регистър на риска'!$A$2:$A$210,""))</f>
        <v/>
      </c>
    </row>
    <row r="8" spans="1:13" ht="42" customHeight="1" x14ac:dyDescent="0.3">
      <c r="A8" s="22" t="s">
        <v>350</v>
      </c>
      <c r="B8" s="26" t="str">
        <f t="array" ref="B8">_xlfn.TEXTJOIN(", ",TRUE,IF(('Регистър на риска'!$G$2:$G$210=2)*('Регистър на риска'!$H$2:$H$210=1),'Регистър на риска'!$A$2:$A$210,""))</f>
        <v/>
      </c>
      <c r="C8" s="26" t="str">
        <f t="array" ref="C8">_xlfn.TEXTJOIN(", ",TRUE,IF(('Регистър на риска'!$G$2:$G$210=2)*('Регистър на риска'!$H$2:$H$210=2),'Регистър на риска'!$A$2:$A$210,""))</f>
        <v/>
      </c>
      <c r="D8" s="23" t="str">
        <f t="array" ref="D8">_xlfn.TEXTJOIN(", ",TRUE,IF(('Регистър на риска'!$G$2:$G$210=2)*('Регистър на риска'!$H$2:$H$210=3),'Регистър на риска'!$A$2:$A$210,""))</f>
        <v/>
      </c>
      <c r="E8" s="23" t="str">
        <f t="array" ref="E8">_xlfn.TEXTJOIN(", ",TRUE,IF(('Регистър на риска'!$G$2:$G$210=2)*('Регистър на риска'!$H$2:$H$210=4),'Регистър на риска'!$A$2:$A$210,""))</f>
        <v>R-13, R-14</v>
      </c>
      <c r="F8" s="24" t="str">
        <f t="array" ref="F8">_xlfn.TEXTJOIN(", ",TRUE,IF(('Регистър на риска'!$G$2:$G$210=2)*('Регистър на риска'!$H$2:$H$210=5),'Регистър на риска'!$A$2:$A$210,""))</f>
        <v>R-04, R-06, R-09</v>
      </c>
      <c r="H8" s="22" t="s">
        <v>350</v>
      </c>
      <c r="I8" s="26" t="str">
        <f t="array" ref="I8">_xlfn.TEXTJOIN(", ",TRUE,IF(('Регистър на риска'!$P$2:$P$210=2)*('Регистър на риска'!$Q$2:$Q$210=1),'Регистър на риска'!$A$2:$A$210,""))</f>
        <v/>
      </c>
      <c r="J8" s="26" t="str">
        <f t="array" ref="J8">_xlfn.TEXTJOIN(", ",TRUE,IF(('Регистър на риска'!$P$2:$P$210=2)*('Регистър на риска'!$Q$2:$Q$210=2),'Регистър на риска'!$A$2:$A$210,""))</f>
        <v>R-09</v>
      </c>
      <c r="K8" s="23" t="str">
        <f t="array" ref="K8">_xlfn.TEXTJOIN(", ",TRUE,IF(('Регистър на риска'!$P$2:$P$210=2)*('Регистър на риска'!$Q$2:$Q$210=3),'Регистър на риска'!$A$2:$A$210,""))</f>
        <v>R-04, R-07</v>
      </c>
      <c r="L8" s="23" t="str">
        <f t="array" ref="L8">_xlfn.TEXTJOIN(", ",TRUE,IF(('Регистър на риска'!$P$2:$P$210=2)*('Регистър на риска'!$Q$2:$Q$210=4),'Регистър на риска'!$A$2:$A$210,""))</f>
        <v>R-01, R-02, R-03, R-05, R-13, R-14</v>
      </c>
      <c r="M8" s="24" t="str">
        <f t="array" ref="M8">_xlfn.TEXTJOIN(", ",TRUE,IF(('Регистър на риска'!$P$2:$P$210=2)*('Регистър на риска'!$Q$2:$Q$210=5),'Регистър на риска'!$A$2:$A$210,""))</f>
        <v/>
      </c>
    </row>
    <row r="9" spans="1:13" ht="42" customHeight="1" x14ac:dyDescent="0.3">
      <c r="A9" s="22" t="s">
        <v>351</v>
      </c>
      <c r="B9" s="26" t="str">
        <f t="array" ref="B9">_xlfn.TEXTJOIN(", ",TRUE,IF(('Регистър на риска'!$G$2:$G$210=1)*('Регистър на риска'!$H$2:$H$210=1),'Регистър на риска'!$A$2:$A$210,""))</f>
        <v/>
      </c>
      <c r="C9" s="26" t="str">
        <f t="array" ref="C9">_xlfn.TEXTJOIN(", ",TRUE,IF(('Регистър на риска'!$G$2:$G$210=1)*('Регистър на риска'!$H$2:$H$210=2),'Регистър на риска'!$A$2:$A$210,""))</f>
        <v/>
      </c>
      <c r="D9" s="26" t="str">
        <f t="array" ref="D9">_xlfn.TEXTJOIN(", ",TRUE,IF(('Регистър на риска'!$G$2:$G$210=1)*('Регистър на риска'!$H$2:$H$210=3),'Регистър на риска'!$A$2:$A$210,""))</f>
        <v/>
      </c>
      <c r="E9" s="26" t="str">
        <f t="array" ref="E9">_xlfn.TEXTJOIN(", ",TRUE,IF(('Регистър на риска'!$G$2:$G$210=1)*('Регистър на риска'!$H$2:$H$210=4),'Регистър на риска'!$A$2:$A$210,""))</f>
        <v/>
      </c>
      <c r="F9" s="23" t="str">
        <f t="array" ref="F9">_xlfn.TEXTJOIN(", ",TRUE,IF(('Регистър на риска'!$G$2:$G$210=1)*('Регистър на риска'!$H$2:$H$210=5),'Регистър на риска'!$A$2:$A$210,""))</f>
        <v/>
      </c>
      <c r="H9" s="22" t="s">
        <v>351</v>
      </c>
      <c r="I9" s="26" t="str">
        <f t="array" ref="I9">_xlfn.TEXTJOIN(", ",TRUE,IF(('Регистър на риска'!$P$2:$P$210=1)*('Регистър на риска'!$Q$2:$Q$210=1),'Регистър на риска'!$A$2:$A$210,""))</f>
        <v/>
      </c>
      <c r="J9" s="26" t="str">
        <f t="array" ref="J9">_xlfn.TEXTJOIN(", ",TRUE,IF(('Регистър на риска'!$P$2:$P$210=1)*('Регистър на риска'!$Q$2:$Q$210=2),'Регистър на риска'!$A$2:$A$210,""))</f>
        <v/>
      </c>
      <c r="K9" s="26" t="str">
        <f t="array" ref="K9">_xlfn.TEXTJOIN(", ",TRUE,IF(('Регистър на риска'!$P$2:$P$210=1)*('Регистър на риска'!$Q$2:$Q$210=3),'Регистър на риска'!$A$2:$A$210,""))</f>
        <v/>
      </c>
      <c r="L9" s="26" t="str">
        <f t="array" ref="L9">_xlfn.TEXTJOIN(", ",TRUE,IF(('Регистър на риска'!$P$2:$P$210=1)*('Регистър на риска'!$Q$2:$Q$210=4),'Регистър на риска'!$A$2:$A$210,""))</f>
        <v>R-08, R-12</v>
      </c>
      <c r="M9" s="23" t="str">
        <f t="array" ref="M9">_xlfn.TEXTJOIN(", ",TRUE,IF(('Регистър на риска'!$P$2:$P$210=1)*('Регистър на риска'!$Q$2:$Q$210=5),'Регистър на риска'!$A$2:$A$210,""))</f>
        <v>R-06</v>
      </c>
    </row>
    <row r="10" spans="1:13" x14ac:dyDescent="0.3">
      <c r="A10" s="27"/>
      <c r="B10" s="28" t="s">
        <v>352</v>
      </c>
      <c r="C10" s="28" t="s">
        <v>353</v>
      </c>
      <c r="D10" s="28" t="s">
        <v>354</v>
      </c>
      <c r="E10" s="28" t="s">
        <v>355</v>
      </c>
      <c r="F10" s="28" t="s">
        <v>356</v>
      </c>
      <c r="H10" s="27"/>
      <c r="I10" s="28" t="s">
        <v>352</v>
      </c>
      <c r="J10" s="28" t="s">
        <v>353</v>
      </c>
      <c r="K10" s="28" t="s">
        <v>354</v>
      </c>
      <c r="L10" s="28" t="s">
        <v>355</v>
      </c>
      <c r="M10" s="28" t="s">
        <v>356</v>
      </c>
    </row>
    <row r="11" spans="1:13" x14ac:dyDescent="0.3">
      <c r="B11" s="29" t="s">
        <v>357</v>
      </c>
      <c r="I11" s="29" t="s">
        <v>357</v>
      </c>
    </row>
    <row r="14" spans="1:13" x14ac:dyDescent="0.3">
      <c r="A14" s="30" t="s">
        <v>9</v>
      </c>
      <c r="B14" s="30" t="s">
        <v>166</v>
      </c>
      <c r="C14" s="30" t="s">
        <v>358</v>
      </c>
      <c r="D14" s="30" t="s">
        <v>359</v>
      </c>
      <c r="E14" s="31"/>
      <c r="F14" s="31"/>
      <c r="G14" s="31"/>
      <c r="H14" s="31"/>
      <c r="I14" s="31"/>
      <c r="J14" s="31"/>
      <c r="K14" s="31"/>
      <c r="L14" s="31"/>
      <c r="M14" s="31"/>
    </row>
    <row r="15" spans="1:13" x14ac:dyDescent="0.3">
      <c r="A15" s="32" t="s">
        <v>360</v>
      </c>
      <c r="B15" s="33" t="s">
        <v>170</v>
      </c>
      <c r="C15" s="33">
        <f>COUNTIFS('Регистър на риска'!$I$2:$I$210,"&gt;=1",'Регистър на риска'!$I$2:$I$210,"&lt;=4")</f>
        <v>0</v>
      </c>
      <c r="D15" s="33">
        <f>COUNTIFS('Регистър на риска'!$R$2:$R$210,"&gt;=1",'Регистър на риска'!$R$2:$R$210,"&lt;=4")</f>
        <v>3</v>
      </c>
      <c r="E15" s="31"/>
      <c r="F15" s="31"/>
      <c r="G15" s="31"/>
      <c r="H15" s="31"/>
      <c r="I15" s="31"/>
      <c r="J15" s="31"/>
      <c r="K15" s="31"/>
      <c r="L15" s="31"/>
      <c r="M15" s="31"/>
    </row>
    <row r="16" spans="1:13" x14ac:dyDescent="0.3">
      <c r="A16" s="34" t="s">
        <v>361</v>
      </c>
      <c r="B16" s="33" t="s">
        <v>173</v>
      </c>
      <c r="C16" s="33">
        <f>COUNTIFS('Регистър на риска'!$I$2:$I$210,"&gt;=5",'Регистър на риска'!$I$2:$I$210,"&lt;=9")</f>
        <v>3</v>
      </c>
      <c r="D16" s="33">
        <f>COUNTIFS('Регистър на риска'!$R$2:$R$210,"&gt;=5",'Регистър на риска'!$R$2:$R$210,"&lt;=9")</f>
        <v>11</v>
      </c>
      <c r="E16" s="31"/>
      <c r="F16" s="31"/>
      <c r="G16" s="31"/>
      <c r="H16" s="31"/>
      <c r="I16" s="31"/>
      <c r="J16" s="31"/>
      <c r="K16" s="31"/>
      <c r="L16" s="31"/>
      <c r="M16" s="31"/>
    </row>
    <row r="17" spans="1:13" x14ac:dyDescent="0.3">
      <c r="A17" s="35" t="s">
        <v>362</v>
      </c>
      <c r="B17" s="33" t="s">
        <v>176</v>
      </c>
      <c r="C17" s="33">
        <f>COUNTIFS('Регистър на риска'!$I$2:$I$210,"&gt;=10",'Регистър на риска'!$I$2:$I$210,"&lt;=15")</f>
        <v>8</v>
      </c>
      <c r="D17" s="33">
        <f>COUNTIFS('Регистър на риска'!$R$2:$R$210,"&gt;=10",'Регистър на риска'!$R$2:$R$210,"&lt;=15")</f>
        <v>0</v>
      </c>
      <c r="E17" s="31"/>
      <c r="F17" s="31"/>
      <c r="G17" s="31"/>
      <c r="H17" s="31"/>
      <c r="I17" s="31"/>
      <c r="J17" s="31"/>
      <c r="K17" s="31"/>
      <c r="L17" s="31"/>
      <c r="M17" s="31"/>
    </row>
    <row r="18" spans="1:13" x14ac:dyDescent="0.3">
      <c r="A18" s="36" t="s">
        <v>363</v>
      </c>
      <c r="B18" s="33" t="s">
        <v>179</v>
      </c>
      <c r="C18" s="33">
        <f>COUNTIFS('Регистър на риска'!$I$2:$I$210,"&gt;=16",'Регистър на риска'!$I$2:$I$210,"&lt;=25")</f>
        <v>3</v>
      </c>
      <c r="D18" s="33">
        <f>COUNTIFS('Регистър на риска'!$R$2:$R$210,"&gt;=16",'Регистър на риска'!$R$2:$R$210,"&lt;=25")</f>
        <v>0</v>
      </c>
      <c r="E18" s="31"/>
      <c r="F18" s="31"/>
      <c r="G18" s="31"/>
      <c r="H18" s="31"/>
      <c r="I18" s="31"/>
      <c r="J18" s="31"/>
      <c r="K18" s="31"/>
      <c r="L18" s="31"/>
      <c r="M18" s="31"/>
    </row>
    <row r="19" spans="1:13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 x14ac:dyDescent="0.3">
      <c r="A20" s="30" t="s">
        <v>364</v>
      </c>
      <c r="B20" s="31">
        <f>Скали!B1</f>
        <v>9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 x14ac:dyDescent="0.3">
      <c r="A21" s="30" t="s">
        <v>365</v>
      </c>
      <c r="B21" s="31"/>
      <c r="C21" s="31">
        <f>COUNTIF('Регистър на риска'!$I$2:$I$210,"&gt;"&amp;Скали!B1)</f>
        <v>11</v>
      </c>
      <c r="D21" s="31">
        <f>COUNTIF('Регистър на риска'!$R$2:$R$210,"&gt;"&amp;Скали!B1)</f>
        <v>0</v>
      </c>
      <c r="E21" s="31"/>
      <c r="F21" s="31"/>
      <c r="G21" s="31"/>
      <c r="H21" s="31"/>
      <c r="I21" s="31"/>
      <c r="J21" s="31"/>
      <c r="K21" s="31"/>
      <c r="L21" s="31"/>
      <c r="M21" s="31"/>
    </row>
  </sheetData>
  <mergeCells count="2">
    <mergeCell ref="H4:M4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Betty D</cp:lastModifiedBy>
  <cp:revision>0</cp:revision>
  <dcterms:created xsi:type="dcterms:W3CDTF">2026-10-07T22:19:43Z</dcterms:created>
  <dcterms:modified xsi:type="dcterms:W3CDTF">2026-10-14T19:43:44Z</dcterms:modified>
  <dc:language>en-US</dc:language>
</cp:coreProperties>
</file>